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enbopan/Downloads/RSS ai translation/Design/"/>
    </mc:Choice>
  </mc:AlternateContent>
  <xr:revisionPtr revIDLastSave="0" documentId="13_ncr:1_{B0DBDC07-B20E-254C-B462-7BA17747AD00}" xr6:coauthVersionLast="47" xr6:coauthVersionMax="47" xr10:uidLastSave="{00000000-0000-0000-0000-000000000000}"/>
  <bookViews>
    <workbookView xWindow="1080" yWindow="660" windowWidth="29160" windowHeight="18980" activeTab="1" xr2:uid="{00000000-000D-0000-FFFF-FFFF00000000}"/>
  </bookViews>
  <sheets>
    <sheet name="填写说明" sheetId="1" r:id="rId1"/>
    <sheet name="设计问卷" sheetId="2" r:id="rId2"/>
    <sheet name="下拉选项（勿改）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2" l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B10" i="1" s="1"/>
  <c r="H17" i="2"/>
  <c r="H16" i="2"/>
  <c r="H15" i="2"/>
  <c r="H14" i="2"/>
  <c r="H13" i="2"/>
  <c r="H12" i="2"/>
  <c r="H11" i="2"/>
  <c r="H10" i="2"/>
  <c r="H9" i="2"/>
  <c r="H8" i="2"/>
  <c r="H7" i="2"/>
  <c r="H6" i="2"/>
  <c r="B8" i="1"/>
  <c r="B7" i="1"/>
  <c r="B9" i="1" l="1"/>
</calcChain>
</file>

<file path=xl/sharedStrings.xml><?xml version="1.0" encoding="utf-8"?>
<sst xmlns="http://schemas.openxmlformats.org/spreadsheetml/2006/main" count="720" uniqueCount="362">
  <si>
    <t>Babel · 设计需求澄清问卷</t>
  </si>
  <si>
    <t>填写完成后保存这份 Excel，再告诉我即可。我会读取你的选择与补充说明，然后先给出最终执行清单，等你明确说“开始”后再制作设计稿。</t>
  </si>
  <si>
    <t>填写进度</t>
  </si>
  <si>
    <t>指标</t>
  </si>
  <si>
    <t>数值</t>
  </si>
  <si>
    <t>说明</t>
  </si>
  <si>
    <t>必须回答题目</t>
  </si>
  <si>
    <t>这些问题会直接改变第一稿方向</t>
  </si>
  <si>
    <t>必须回答已填写</t>
  </si>
  <si>
    <t>下拉选择或自由填写任一非空即算完成</t>
  </si>
  <si>
    <t>必须回答完成率</t>
  </si>
  <si>
    <t>建议达到 100% 后告诉我</t>
  </si>
  <si>
    <t>全部题目已填写</t>
  </si>
  <si>
    <t>建议题可以选择“由你判断”</t>
  </si>
  <si>
    <t>怎么填写</t>
  </si>
  <si>
    <t>1</t>
  </si>
  <si>
    <t>进入“设计问卷”页。</t>
  </si>
  <si>
    <t>2</t>
  </si>
  <si>
    <t>E 列使用下拉选单；F 列始终可以自由补充。两列可以只填一列，也可以同时填写。</t>
  </si>
  <si>
    <t>3</t>
  </si>
  <si>
    <t>如果一个下拉题想选多个答案，请在 E 列选最接近的一项，再把完整组合写在 F 列。</t>
  </si>
  <si>
    <t>4</t>
  </si>
  <si>
    <t>开放题可以在 E 列选择“其他 / 由你判断”，并直接在 F 列写你的想法。</t>
  </si>
  <si>
    <t>5</t>
  </si>
  <si>
    <t>G 列是“若留空，我会怎样处理”，用于减少你必须做的决定；它不是你的答案。</t>
  </si>
  <si>
    <t>6</t>
  </si>
  <si>
    <t>H 列自动计算填写状态，请不要手动修改。</t>
  </si>
  <si>
    <t>7</t>
  </si>
  <si>
    <t>截图或录屏可以继续放在项目文件夹内；请在对应问题的 F 列写明文件名或路径。</t>
  </si>
  <si>
    <t>颜色说明</t>
  </si>
  <si>
    <t>陶土红</t>
  </si>
  <si>
    <t>必须回答</t>
  </si>
  <si>
    <t>灰绿色</t>
  </si>
  <si>
    <t>建议回答</t>
  </si>
  <si>
    <t>浅暖色输入框</t>
  </si>
  <si>
    <t>请选择或直接填写</t>
  </si>
  <si>
    <t>E 列选下拉项，F 列自由补充；可只填一列，也可同时填写。多选题请在 E 列选最接近的一项，再在 F 列补充完整组合。</t>
  </si>
  <si>
    <t>编号</t>
  </si>
  <si>
    <t>优先级</t>
  </si>
  <si>
    <t>分类</t>
  </si>
  <si>
    <t>问题</t>
  </si>
  <si>
    <t>下拉选择</t>
  </si>
  <si>
    <t>补充说明 / 直接填写</t>
  </si>
  <si>
    <t>若留空，我的默认处理</t>
  </si>
  <si>
    <t>填写状态</t>
  </si>
  <si>
    <t>Q01</t>
  </si>
  <si>
    <t>现状材料</t>
  </si>
  <si>
    <t>能否补一组最新版真机截图或录屏？最需要：首页三个档位、首页滚动前/标题停靠后、文章列表顶部/滚动后、正文刚进入/阅读栏停靠、翻译进行中/完成后、正文深色模式、当前七键控件板。</t>
  </si>
  <si>
    <t>需要你确认；若没有新材料，我会按现有截图与代码推断，并标注可能的版本差异。</t>
  </si>
  <si>
    <t>Q02</t>
  </si>
  <si>
    <t>Reference/2.PNG 是否可以视为目前最新的文章列表外观？</t>
  </si>
  <si>
    <t>不把它视为完全最新，只作为当前方向与密度参考。</t>
  </si>
  <si>
    <t>Q03</t>
  </si>
  <si>
    <t>external resources/screenshots/文章内容.PNG 已早于当前控件板和阅读栏；现在正文主体排版是否仍基本相同？</t>
  </si>
  <si>
    <t>按代码和设计简报推断最新结构，旧截图只用于正文内容参考。</t>
  </si>
  <si>
    <t>Q04</t>
  </si>
  <si>
    <t>真实数据压力测试使用什么材料？</t>
  </si>
  <si>
    <t>从现有内容挑选，并补充合理的极端案例。</t>
  </si>
  <si>
    <t>Q05</t>
  </si>
  <si>
    <t>交付范围</t>
  </si>
  <si>
    <t>App 图标是否属于本轮重设计范围？</t>
  </si>
  <si>
    <t>暂不重画图标，只评估它与三个设计方向是否一致。</t>
  </si>
  <si>
    <t>Q06</t>
  </si>
  <si>
    <t>浮世绘头图可以被替换时，当前 App 图标应如何处理？</t>
  </si>
  <si>
    <t>方向 B 保留当前主题，方向 A/C 允许替换，以便真正比较。</t>
  </si>
  <si>
    <t>Q07</t>
  </si>
  <si>
    <t>长图分享是否列为第一轮的核心设计稿？</t>
  </si>
  <si>
    <t>三个方向先给长图规则，选中方向后绘制完整长图稿。</t>
  </si>
  <si>
    <t>Q08</t>
  </si>
  <si>
    <t>发现页、空状态、加载态和错误态需要做到什么范围？</t>
  </si>
  <si>
    <t>第一轮画最关键压力状态，其余在选定方向后展开。</t>
  </si>
  <si>
    <t>Q09</t>
  </si>
  <si>
    <t>设置页是否纳入设计稿？</t>
  </si>
  <si>
    <t>只给如何沿用新系统的原则，不重构设置页。</t>
  </si>
  <si>
    <t>Q10</t>
  </si>
  <si>
    <t>第一轮希望看到怎样的精细度？</t>
  </si>
  <si>
    <t>中高保真，先确保三个方向的取舍清楚，再精修选中方向。</t>
  </si>
  <si>
    <t>Q11</t>
  </si>
  <si>
    <t>翻译与中英关系</t>
  </si>
  <si>
    <t>翻译后的标题是否需要让用户一眼知道“这是译文”？</t>
  </si>
  <si>
    <t>使用极轻的译文标记，并提供按需查看原标题的入口。</t>
  </si>
  <si>
    <t>Q12</t>
  </si>
  <si>
    <t>如果只能优先保证一个目标，你更重视什么？</t>
  </si>
  <si>
    <t>中文扫读优先，同时保留安静的核对入口。</t>
  </si>
  <si>
    <t>Q13</t>
  </si>
  <si>
    <t>未来的原译对照，你更倾向哪种方式？</t>
  </si>
  <si>
    <t>以整页切换为主，段落按需展开作为补充。</t>
  </si>
  <si>
    <t>Q14</t>
  </si>
  <si>
    <t>标题翻译尚未完成时，应怎样显示？</t>
  </si>
  <si>
    <t>保留英文，并显示轻量处理中状态。</t>
  </si>
  <si>
    <t>Q15</t>
  </si>
  <si>
    <t>标题或正文翻译失败时，应怎样反馈？</t>
  </si>
  <si>
    <t>保留英文，给出轻量错误标记与重试入口。</t>
  </si>
  <si>
    <t>Q16</t>
  </si>
  <si>
    <t>中文译题与英文原题相邻时，能否接受文章行变高？</t>
  </si>
  <si>
    <t>密度优先，原标题不常驻，仅在需要时展开。</t>
  </si>
  <si>
    <t>Q17</t>
  </si>
  <si>
    <t>RSS 本身就是中文的文章，应与“由英文翻译成中文”的文章有什么关系？</t>
  </si>
  <si>
    <t>列表中基本一致，详情或按需信息中可辨。</t>
  </si>
  <si>
    <t>Q18</t>
  </si>
  <si>
    <t>文章行</t>
  </si>
  <si>
    <t>文章列表希望保持怎样的密度？</t>
  </si>
  <si>
    <t>保持一屏约 6–7 篇，同时让极端内容自然增高。</t>
  </si>
  <si>
    <t>Q19</t>
  </si>
  <si>
    <t>摘要对你判断是否打开文章的价值有多大？</t>
  </si>
  <si>
    <t>保留摘要，但明显弱于标题。</t>
  </si>
  <si>
    <t>Q20</t>
  </si>
  <si>
    <t>右侧缩略图希望如何处理？</t>
  </si>
  <si>
    <t>仅在图片质量和相关性足够时显示；压力测试中覆盖无图状态。</t>
  </si>
  <si>
    <t>Q21</t>
  </si>
  <si>
    <t>目前已读行整体约 45% 不透明度，你喜欢这种强区分吗？</t>
  </si>
  <si>
    <t>提高到约 65%，避免整屏已读内容像被禁用。</t>
  </si>
  <si>
    <t>Q22</t>
  </si>
  <si>
    <t>时间信息怎样最有用？</t>
  </si>
  <si>
    <t>当天显示相对时间，较早内容显示具体日期。</t>
  </si>
  <si>
    <t>Q23</t>
  </si>
  <si>
    <t>源名过长时，应优先保证什么？</t>
  </si>
  <si>
    <t>动态截断源名，但给时间保留稳定位置。</t>
  </si>
  <si>
    <t>Q24</t>
  </si>
  <si>
    <t>星标在列表行中应如何出现？</t>
  </si>
  <si>
    <t>仅已星标文章显示。</t>
  </si>
  <si>
    <t>Q25</t>
  </si>
  <si>
    <t>字体与语言</t>
  </si>
  <si>
    <t>简体、繁体与原始语言的处理规则是什么？</t>
  </si>
  <si>
    <t>译文使用简体；原生中文 RSS 保留来源字形。</t>
  </si>
  <si>
    <t>Q26</t>
  </si>
  <si>
    <t>若设计需要思源宋体 Regular / Medium / Semibold，是否接受增加几 MB 字体资源？</t>
  </si>
  <si>
    <t>只增加能显著改善配对的一到两个必要字重。</t>
  </si>
  <si>
    <t>Q27</t>
  </si>
  <si>
    <t>衬线体适合出现在哪些位置？</t>
  </si>
  <si>
    <t>主要用于头图和正文大标题；正文另做阅读对比。</t>
  </si>
  <si>
    <t>Q28</t>
  </si>
  <si>
    <t>正文阅读字体更偏好哪一类？</t>
  </si>
  <si>
    <t>基础方案先用黑体，同时测试长文宋体方案。</t>
  </si>
  <si>
    <t>Q29</t>
  </si>
  <si>
    <t>动态字号压力测试做到哪一级？</t>
  </si>
  <si>
    <t>测试默认、放大两档和最大普通字号；规范中再覆盖无障碍降级。</t>
  </si>
  <si>
    <t>Q30</t>
  </si>
  <si>
    <t>图像与品牌</t>
  </si>
  <si>
    <t>你现在对浮世绘方向的真实态度更接近哪一种？</t>
  </si>
  <si>
    <t>三个方向分别保留、弱化和取消，以实稿比较。</t>
  </si>
  <si>
    <t>Q31</t>
  </si>
  <si>
    <t>如果替换意象，你愿意探索哪些母题？</t>
  </si>
  <si>
    <t>优先探索编辑校样、远方来信与抽象文字结构的组合。</t>
  </si>
  <si>
    <t>Q32</t>
  </si>
  <si>
    <t>是否允许生成新的头图和装饰资源？</t>
  </si>
  <si>
    <t>允许生成，但保留原始输出、最终版本和素材清单供你确认。</t>
  </si>
  <si>
    <t>Q33</t>
  </si>
  <si>
    <t>浅色/深色头图“白天变夜晚”的叙事变化有多重要？</t>
  </si>
  <si>
    <t>保留自然的昼夜变化，但不把它设为所有方向的硬规则。</t>
  </si>
  <si>
    <t>Q34</t>
  </si>
  <si>
    <t>Babel 是否可以按近似最终品牌名设计？</t>
  </si>
  <si>
    <t>按可替换的字标和通用组件设计，不依赖特定字母造型。</t>
  </si>
  <si>
    <t>Q35</t>
  </si>
  <si>
    <t>陶土红强调色需要保留到什么程度？</t>
  </si>
  <si>
    <t>保留陶土红作为基线，允许三个方向探索不同但克制的强调色。</t>
  </si>
  <si>
    <t>Q36</t>
  </si>
  <si>
    <t>正文与动效</t>
  </si>
  <si>
    <t>当前正文最让你不满意的部分是什么？可在右侧补充具体例子。</t>
  </si>
  <si>
    <t>优先处理阅读栏、中英关系与控件板的信息层级。</t>
  </si>
  <si>
    <t>Q37</t>
  </si>
  <si>
    <t>翻译逐字或逐段出现时，你现在的感受如何？</t>
  </si>
  <si>
    <t>保留渐进感，但减少闪动和对正在阅读段落的干扰。</t>
  </si>
  <si>
    <t>Q38</t>
  </si>
  <si>
    <t>翻译完成后，需要怎样的完成反馈？</t>
  </si>
  <si>
    <t>轻微但可感知，不弹出额外提示。</t>
  </si>
  <si>
    <t>Q39</t>
  </si>
  <si>
    <t>进入文章的转场更适合哪种方向？</t>
  </si>
  <si>
    <t>保留系统转场，只让阅读栏和正文做轻微接力。</t>
  </si>
  <si>
    <t>Q40</t>
  </si>
  <si>
    <t>星标/未读/全部三档切换时，内容应怎样变化？</t>
  </si>
  <si>
    <t>保留轻微横向动势，头图使用淡入，避免整屏剧烈移动。</t>
  </si>
  <si>
    <t>Q41</t>
  </si>
  <si>
    <t>是否需要为系统“减少动态效果”定义专门的降级规则？</t>
  </si>
  <si>
    <t>需要：将位移转场降级为淡入淡出。</t>
  </si>
  <si>
    <t>Q42</t>
  </si>
  <si>
    <t>文件与评审</t>
  </si>
  <si>
    <t>最终可编辑文件希望使用什么格式？</t>
  </si>
  <si>
    <t>以本地可编辑的 HTML/CSS/SVG 为主，并导出 PNG/PDF。</t>
  </si>
  <si>
    <t>Q43</t>
  </si>
  <si>
    <t>设计画布是否按当前截图的 402 × 874 pt、@3x 输出？</t>
  </si>
  <si>
    <t>按 402 × 874 pt、@3x 制作主稿，并验证较窄宽度。</t>
  </si>
  <si>
    <t>Q44</t>
  </si>
  <si>
    <t>你希望怎样评审三个方向？</t>
  </si>
  <si>
    <t>总览板与本地交互页面都提供。</t>
  </si>
  <si>
    <t>Q45</t>
  </si>
  <si>
    <t>选中方向后，是否希望继续把设计转成 App 中可真机验收的实现？</t>
  </si>
  <si>
    <t>设计稿先写到可实现的规格深度，是否编码后续再决定。</t>
  </si>
  <si>
    <t>问题编号</t>
  </si>
  <si>
    <t>选项序号</t>
  </si>
  <si>
    <t>下拉选项</t>
  </si>
  <si>
    <t>可以，稍后提供</t>
  </si>
  <si>
    <t>现有材料已是最新</t>
  </si>
  <si>
    <t>没有现成材料</t>
  </si>
  <si>
    <t>由你根据现有材料判断</t>
  </si>
  <si>
    <t>是，视为最新</t>
  </si>
  <si>
    <t>大体相同但有细节变化</t>
  </si>
  <si>
    <t>不是，稍后补最新截图</t>
  </si>
  <si>
    <t>不确定</t>
  </si>
  <si>
    <t>主体排版基本相同</t>
  </si>
  <si>
    <t>已有明显变化，稍后补充</t>
  </si>
  <si>
    <t>仅控件板和阅读栏变化</t>
  </si>
  <si>
    <t>我会提供真实极端案例</t>
  </si>
  <si>
    <t>请从现有素材中挑选</t>
  </si>
  <si>
    <t>请合理构造但使用真实风格</t>
  </si>
  <si>
    <t>两者结合</t>
  </si>
  <si>
    <t>纳入第一轮</t>
  </si>
  <si>
    <t>暂不纳入</t>
  </si>
  <si>
    <t>只评估不重画</t>
  </si>
  <si>
    <t>由你判断</t>
  </si>
  <si>
    <t>必须保留当前图标</t>
  </si>
  <si>
    <t>可以优化但保持主题</t>
  </si>
  <si>
    <t>可以彻底重做</t>
  </si>
  <si>
    <t>第一轮先不动</t>
  </si>
  <si>
    <t>同意，纳入核心稿</t>
  </si>
  <si>
    <t>选定方向后再做</t>
  </si>
  <si>
    <t>只给规则不画稿</t>
  </si>
  <si>
    <t>暂不考虑</t>
  </si>
  <si>
    <t>三个方向都画</t>
  </si>
  <si>
    <t>选定方向后再展开</t>
  </si>
  <si>
    <t>第一轮只画最关键状态</t>
  </si>
  <si>
    <t>完全不纳入</t>
  </si>
  <si>
    <t>只给沿用原则</t>
  </si>
  <si>
    <t>选定方向后补一页</t>
  </si>
  <si>
    <t>高保真成品感</t>
  </si>
  <si>
    <t>中等保真，方向差异优先</t>
  </si>
  <si>
    <t>先粗稿再精修</t>
  </si>
  <si>
    <t>由你安排</t>
  </si>
  <si>
    <t>不标记，中文即默认</t>
  </si>
  <si>
    <t>极小“译”字或符号</t>
  </si>
  <si>
    <t>保留一行淡色原标题</t>
  </si>
  <si>
    <t>点按或长按显示原标题</t>
  </si>
  <si>
    <t>快速扫中文标题</t>
  </si>
  <si>
    <t>随时核对原标题</t>
  </si>
  <si>
    <t>清楚知道翻译状态</t>
  </si>
  <si>
    <t>三者尽量平衡</t>
  </si>
  <si>
    <t>中文下方整段英文</t>
  </si>
  <si>
    <t>点某段展开英文</t>
  </si>
  <si>
    <t>原文/译文整页切换</t>
  </si>
  <si>
    <t>左右滑动切换</t>
  </si>
  <si>
    <t>暂不决定</t>
  </si>
  <si>
    <t>直接显示英文，无状态</t>
  </si>
  <si>
    <t>英文加轻量处理中状态</t>
  </si>
  <si>
    <t>显示骨架或占位</t>
  </si>
  <si>
    <t>保留英文即可</t>
  </si>
  <si>
    <t>轻量错误标记</t>
  </si>
  <si>
    <t>明确错误提示并可重试</t>
  </si>
  <si>
    <t>可以变高，核对优先</t>
  </si>
  <si>
    <t>密度优先，不常驻原标题</t>
  </si>
  <si>
    <t>仅在特定状态变高</t>
  </si>
  <si>
    <t>完全一样</t>
  </si>
  <si>
    <t>需区分原生中文与译文</t>
  </si>
  <si>
    <t>只在详情中可辨</t>
  </si>
  <si>
    <t>保持约 6–7 篇</t>
  </si>
  <si>
    <t>降到约 5–6 篇</t>
  </si>
  <si>
    <t>希望更密集</t>
  </si>
  <si>
    <t>不同内容自适应</t>
  </si>
  <si>
    <t>经常靠摘要判断</t>
  </si>
  <si>
    <t>偶尔参考</t>
  </si>
  <si>
    <t>主要只扫标题</t>
  </si>
  <si>
    <t>不同源不同处理</t>
  </si>
  <si>
    <t>固定右侧缩略图</t>
  </si>
  <si>
    <t>仅高质量图片显示</t>
  </si>
  <si>
    <t>标题下小横幅</t>
  </si>
  <si>
    <t>完全无图</t>
  </si>
  <si>
    <t>请同时比较多个方案</t>
  </si>
  <si>
    <t>喜欢 45% 强区分</t>
  </si>
  <si>
    <t>提高到 60%–70%</t>
  </si>
  <si>
    <t>只改变标题和摘要灰度</t>
  </si>
  <si>
    <t>相对时间更有用</t>
  </si>
  <si>
    <t>具体日期更有用</t>
  </si>
  <si>
    <t>当天相对、较早具体</t>
  </si>
  <si>
    <t>时间不重要</t>
  </si>
  <si>
    <t>完整源名优先</t>
  </si>
  <si>
    <t>时间优先</t>
  </si>
  <si>
    <t>动态截断平衡</t>
  </si>
  <si>
    <t>始终可见</t>
  </si>
  <si>
    <t>仅星标文章出现</t>
  </si>
  <si>
    <t>只在滑动或操作时出现</t>
  </si>
  <si>
    <t>译文固定简体；RSS 可有繁体</t>
  </si>
  <si>
    <t>全部统一为简体</t>
  </si>
  <si>
    <t>保留各源原语言或字形</t>
  </si>
  <si>
    <t>其他（右侧说明）</t>
  </si>
  <si>
    <t>接受增加字体资源</t>
  </si>
  <si>
    <t>尽量不增加体积</t>
  </si>
  <si>
    <t>只增加一个必要字重</t>
  </si>
  <si>
    <t>只用于头图或大标题</t>
  </si>
  <si>
    <t>正文也可尝试衬线</t>
  </si>
  <si>
    <t>列表标题也可尝试</t>
  </si>
  <si>
    <t>请分别做对比</t>
  </si>
  <si>
    <t>黑体</t>
  </si>
  <si>
    <t>宋体</t>
  </si>
  <si>
    <t>中文宋体加英文 New York</t>
  </si>
  <si>
    <t>不同场景不同字体</t>
  </si>
  <si>
    <t>默认加放大两档</t>
  </si>
  <si>
    <t>再加最大普通字号</t>
  </si>
  <si>
    <t>包括无障碍超大字号</t>
  </si>
  <si>
    <t>很喜欢，只需控制边界</t>
  </si>
  <si>
    <t>喜欢氛围，不坚持日本视觉语言</t>
  </si>
  <si>
    <t>已有些腻，可以彻底替换</t>
  </si>
  <si>
    <t>三个方向分别保留、弱化、取消</t>
  </si>
  <si>
    <t>书房或阅读空间</t>
  </si>
  <si>
    <t>印刷校样或编辑痕迹</t>
  </si>
  <si>
    <t>航图、星图或远方来信</t>
  </si>
  <si>
    <t>抽象文字结构</t>
  </si>
  <si>
    <t>中国传统视觉</t>
  </si>
  <si>
    <t>组合或其他（右侧说明）</t>
  </si>
  <si>
    <t>允许生成新图像</t>
  </si>
  <si>
    <t>仅可使用现有素材</t>
  </si>
  <si>
    <t>可生成但最终需我确认</t>
  </si>
  <si>
    <t>只做无图形方向</t>
  </si>
  <si>
    <t>很喜欢，必须保留</t>
  </si>
  <si>
    <t>可以保留但不是重点</t>
  </si>
  <si>
    <t>只是可接受</t>
  </si>
  <si>
    <t>可以取消</t>
  </si>
  <si>
    <t>可按最终品牌设计</t>
  </si>
  <si>
    <t>可能改名，需可替换</t>
  </si>
  <si>
    <t>暂不确定</t>
  </si>
  <si>
    <t>陶土红必须保留</t>
  </si>
  <si>
    <t>可微调陶土红</t>
  </si>
  <si>
    <t>三个方向可探索不同色</t>
  </si>
  <si>
    <t>完全开放</t>
  </si>
  <si>
    <t>整体缺少品牌感</t>
  </si>
  <si>
    <t>字号或行宽</t>
  </si>
  <si>
    <t>标题或阅读栏</t>
  </si>
  <si>
    <t>图片排版</t>
  </si>
  <si>
    <t>底部控件板</t>
  </si>
  <si>
    <t>多个问题（右侧说明）</t>
  </si>
  <si>
    <t>有生命感，喜欢</t>
  </si>
  <si>
    <t>偶尔打断但可接受</t>
  </si>
  <si>
    <t>明显打断阅读</t>
  </si>
  <si>
    <t>希望更安静</t>
  </si>
  <si>
    <t>明确完成瞬间</t>
  </si>
  <si>
    <t>轻微但可感知</t>
  </si>
  <si>
    <t>几乎无感</t>
  </si>
  <si>
    <t>系统原生推入</t>
  </si>
  <si>
    <t>纸张从列表行展开</t>
  </si>
  <si>
    <t>系统转场加阅读栏轻接力</t>
  </si>
  <si>
    <t>请比较多个方案</t>
  </si>
  <si>
    <t>横向滑动</t>
  </si>
  <si>
    <t>交叉淡入</t>
  </si>
  <si>
    <t>内容切换加头图淡入</t>
  </si>
  <si>
    <t>需要</t>
  </si>
  <si>
    <t>暂时不需要</t>
  </si>
  <si>
    <t>选定方向后补</t>
  </si>
  <si>
    <t>HTML/CSS/SVG 加 PNG/PDF 即可</t>
  </si>
  <si>
    <t>明确需要 Figma</t>
  </si>
  <si>
    <t>两者都要</t>
  </si>
  <si>
    <t>是，402 × 874 pt、@3x</t>
  </si>
  <si>
    <t>按另一设备尺寸（右侧填写）</t>
  </si>
  <si>
    <t>同时做多尺寸</t>
  </si>
  <si>
    <t>一张总览板并排比较</t>
  </si>
  <si>
    <t>本地交互页面逐个切换</t>
  </si>
  <si>
    <t>会，选定后继续实现</t>
  </si>
  <si>
    <t>先只做设计稿</t>
  </si>
  <si>
    <t>实现另行决定</t>
  </si>
  <si>
    <r>
      <rPr>
        <sz val="10"/>
        <color rgb="FF2C2823"/>
        <rFont val="Microsoft YaHei"/>
        <family val="2"/>
        <charset val="134"/>
      </rPr>
      <t>已经提供了，在</t>
    </r>
    <r>
      <rPr>
        <sz val="10"/>
        <color rgb="FF2C2823"/>
        <rFont val="Aptos"/>
      </rPr>
      <t>Design</t>
    </r>
    <r>
      <rPr>
        <sz val="10"/>
        <color rgb="FF2C2823"/>
        <rFont val="Microsoft YaHei"/>
        <family val="2"/>
        <charset val="134"/>
      </rPr>
      <t>文件夹下的</t>
    </r>
    <r>
      <rPr>
        <sz val="10"/>
        <color rgb="FF2C2823"/>
        <rFont val="Aptos"/>
      </rPr>
      <t>Screenshots</t>
    </r>
    <r>
      <rPr>
        <sz val="10"/>
        <color rgb="FF2C2823"/>
        <rFont val="Microsoft YaHei"/>
        <family val="2"/>
        <charset val="134"/>
      </rPr>
      <t>文件夹，都是最新的</t>
    </r>
    <phoneticPr fontId="17" type="noConversion"/>
  </si>
  <si>
    <t>我不需要原文</t>
    <phoneticPr fontId="17" type="noConversion"/>
  </si>
  <si>
    <t>保持现状</t>
    <phoneticPr fontId="17" type="noConversion"/>
  </si>
  <si>
    <t>我一般只由标题进行判断，摘要信息太少了</t>
    <phoneticPr fontId="17" type="noConversion"/>
  </si>
  <si>
    <t>我可以手动修改源名，所以我不太在乎这个问题</t>
    <phoneticPr fontId="17" type="noConversion"/>
  </si>
  <si>
    <t>我不想把这个app限定于只翻译成中文，我希望以后可以在app里指定翻译目标语言，让全世界的人都可以用它来读全世界非自己母语的内容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</si>
</sst>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b/>
      <sz val="22"/>
      <color rgb="FFF3F0EB"/>
      <name val="Aptos Display"/>
    </font>
    <font>
      <sz val="11"/>
      <color rgb="FF877F73"/>
      <name val="Aptos"/>
    </font>
    <font>
      <b/>
      <sz val="12"/>
      <color rgb="FFFFFFFF"/>
      <name val="Aptos"/>
    </font>
    <font>
      <b/>
      <sz val="10"/>
      <color rgb="FF2C2823"/>
      <name val="Aptos"/>
    </font>
    <font>
      <sz val="10"/>
      <color rgb="FF2C2823"/>
      <name val="Aptos"/>
    </font>
    <font>
      <b/>
      <sz val="16"/>
      <color rgb="FFC0603A"/>
      <name val="Aptos Display"/>
    </font>
    <font>
      <b/>
      <sz val="12"/>
      <color rgb="FFF3F0EB"/>
      <name val="Aptos"/>
    </font>
    <font>
      <b/>
      <sz val="11"/>
      <color rgb="FFC0603A"/>
      <name val="Aptos"/>
    </font>
    <font>
      <sz val="11"/>
      <color rgb="FF2C2823"/>
      <name val="Aptos"/>
    </font>
    <font>
      <b/>
      <sz val="11"/>
      <color rgb="FFFFFFFF"/>
      <name val="Carlito"/>
    </font>
    <font>
      <b/>
      <sz val="11"/>
      <color rgb="FF2C2823"/>
      <name val="Aptos"/>
    </font>
    <font>
      <i/>
      <sz val="10"/>
      <color rgb="FF877F73"/>
      <name val="Aptos"/>
    </font>
    <font>
      <b/>
      <sz val="10"/>
      <color rgb="FF877F73"/>
      <name val="Aptos"/>
    </font>
    <font>
      <b/>
      <sz val="10"/>
      <color rgb="FFC0603A"/>
      <name val="Aptos"/>
    </font>
    <font>
      <b/>
      <sz val="10"/>
      <color rgb="FFFFFFFF"/>
      <name val="Aptos"/>
    </font>
    <font>
      <sz val="11"/>
      <name val="Carlito"/>
    </font>
    <font>
      <sz val="9"/>
      <name val="FangSong"/>
      <family val="3"/>
      <charset val="134"/>
    </font>
    <font>
      <sz val="10"/>
      <color rgb="FF2C2823"/>
      <name val="Microsoft YaHei"/>
      <family val="2"/>
      <charset val="134"/>
    </font>
    <font>
      <sz val="10"/>
      <color rgb="FF2C2823"/>
      <name val="Aptos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2C2823"/>
      </patternFill>
    </fill>
    <fill>
      <patternFill patternType="solid">
        <fgColor rgb="FFFBF8F3"/>
      </patternFill>
    </fill>
    <fill>
      <patternFill patternType="solid">
        <fgColor rgb="FFC0603A"/>
      </patternFill>
    </fill>
    <fill>
      <patternFill patternType="solid">
        <fgColor rgb="FFE8E3DB"/>
      </patternFill>
    </fill>
    <fill>
      <patternFill patternType="solid">
        <fgColor rgb="FFF0D8CD"/>
      </patternFill>
    </fill>
    <fill>
      <patternFill patternType="solid">
        <fgColor rgb="FF7F8A74"/>
      </patternFill>
    </fill>
    <fill>
      <patternFill patternType="solid">
        <fgColor rgb="FFF3F0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E4DFD6"/>
      </bottom>
      <diagonal/>
    </border>
    <border>
      <left/>
      <right/>
      <top style="thin">
        <color rgb="FFE4DFD6"/>
      </top>
      <bottom style="thin">
        <color rgb="FFE4DFD6"/>
      </bottom>
      <diagonal/>
    </border>
    <border>
      <left/>
      <right/>
      <top style="thin">
        <color rgb="FFE4DFD6"/>
      </top>
      <bottom/>
      <diagonal/>
    </border>
    <border>
      <left/>
      <right/>
      <top/>
      <bottom style="medium">
        <color rgb="FFC0603A"/>
      </bottom>
      <diagonal/>
    </border>
  </borders>
  <cellStyleXfs count="2">
    <xf numFmtId="0" fontId="0" fillId="0" borderId="0"/>
    <xf numFmtId="0" fontId="16" fillId="0" borderId="0"/>
  </cellStyleXfs>
  <cellXfs count="44">
    <xf numFmtId="0" fontId="0" fillId="0" borderId="0" xfId="0"/>
    <xf numFmtId="0" fontId="4" fillId="5" borderId="0" xfId="1" applyFont="1" applyFill="1" applyAlignment="1">
      <alignment vertical="center"/>
    </xf>
    <xf numFmtId="0" fontId="5" fillId="3" borderId="1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6" fillId="3" borderId="2" xfId="1" applyFont="1" applyFill="1" applyBorder="1" applyAlignment="1">
      <alignment vertical="center" wrapText="1"/>
    </xf>
    <xf numFmtId="9" fontId="6" fillId="3" borderId="2" xfId="1" applyNumberFormat="1" applyFont="1" applyFill="1" applyBorder="1" applyAlignment="1">
      <alignment vertical="center" wrapText="1"/>
    </xf>
    <xf numFmtId="0" fontId="6" fillId="3" borderId="3" xfId="1" applyFont="1" applyFill="1" applyBorder="1" applyAlignment="1">
      <alignment vertical="center" wrapText="1"/>
    </xf>
    <xf numFmtId="0" fontId="8" fillId="6" borderId="0" xfId="1" applyFont="1" applyFill="1" applyAlignment="1">
      <alignment horizontal="center" vertical="center"/>
    </xf>
    <xf numFmtId="0" fontId="10" fillId="4" borderId="0" xfId="1" applyFont="1" applyFill="1"/>
    <xf numFmtId="0" fontId="10" fillId="7" borderId="0" xfId="1" applyFont="1" applyFill="1"/>
    <xf numFmtId="0" fontId="10" fillId="6" borderId="0" xfId="1" applyFont="1" applyFill="1"/>
    <xf numFmtId="0" fontId="9" fillId="3" borderId="0" xfId="1" applyFont="1" applyFill="1" applyAlignment="1">
      <alignment vertical="center"/>
    </xf>
    <xf numFmtId="0" fontId="11" fillId="5" borderId="4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5" fillId="3" borderId="1" xfId="1" applyFont="1" applyFill="1" applyBorder="1" applyAlignment="1">
      <alignment vertical="top" wrapText="1"/>
    </xf>
    <xf numFmtId="0" fontId="5" fillId="3" borderId="2" xfId="1" applyFont="1" applyFill="1" applyBorder="1" applyAlignment="1">
      <alignment vertical="top" wrapText="1"/>
    </xf>
    <xf numFmtId="0" fontId="5" fillId="3" borderId="3" xfId="1" applyFont="1" applyFill="1" applyBorder="1" applyAlignment="1">
      <alignment vertical="top" wrapText="1"/>
    </xf>
    <xf numFmtId="0" fontId="5" fillId="8" borderId="1" xfId="1" applyFont="1" applyFill="1" applyBorder="1" applyAlignment="1">
      <alignment vertical="top" wrapText="1"/>
    </xf>
    <xf numFmtId="0" fontId="5" fillId="8" borderId="2" xfId="1" applyFont="1" applyFill="1" applyBorder="1" applyAlignment="1">
      <alignment vertical="top" wrapText="1"/>
    </xf>
    <xf numFmtId="0" fontId="5" fillId="8" borderId="3" xfId="1" applyFont="1" applyFill="1" applyBorder="1" applyAlignment="1">
      <alignment vertical="top" wrapText="1"/>
    </xf>
    <xf numFmtId="0" fontId="5" fillId="6" borderId="1" xfId="1" applyFont="1" applyFill="1" applyBorder="1" applyAlignment="1">
      <alignment vertical="top" wrapText="1"/>
    </xf>
    <xf numFmtId="0" fontId="5" fillId="6" borderId="2" xfId="1" applyFont="1" applyFill="1" applyBorder="1" applyAlignment="1">
      <alignment vertical="top" wrapText="1"/>
    </xf>
    <xf numFmtId="0" fontId="5" fillId="6" borderId="3" xfId="1" applyFont="1" applyFill="1" applyBorder="1" applyAlignment="1">
      <alignment vertical="top" wrapText="1"/>
    </xf>
    <xf numFmtId="0" fontId="12" fillId="5" borderId="1" xfId="1" applyFont="1" applyFill="1" applyBorder="1" applyAlignment="1">
      <alignment vertical="top" wrapText="1"/>
    </xf>
    <xf numFmtId="0" fontId="12" fillId="5" borderId="2" xfId="1" applyFont="1" applyFill="1" applyBorder="1" applyAlignment="1">
      <alignment vertical="top" wrapText="1"/>
    </xf>
    <xf numFmtId="0" fontId="13" fillId="3" borderId="1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 wrapText="1"/>
    </xf>
    <xf numFmtId="0" fontId="14" fillId="6" borderId="2" xfId="1" applyFont="1" applyFill="1" applyBorder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15" fillId="7" borderId="2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vertical="center" wrapText="1"/>
    </xf>
    <xf numFmtId="0" fontId="3" fillId="4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9" fillId="3" borderId="1" xfId="1" applyFont="1" applyFill="1" applyBorder="1" applyAlignment="1">
      <alignment vertical="center" wrapText="1"/>
    </xf>
    <xf numFmtId="0" fontId="19" fillId="6" borderId="1" xfId="1" applyFont="1" applyFill="1" applyBorder="1" applyAlignment="1">
      <alignment vertical="top" wrapText="1"/>
    </xf>
    <xf numFmtId="0" fontId="18" fillId="6" borderId="2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C0603A"/>
      </font>
      <fill>
        <patternFill patternType="solid">
          <bgColor rgb="FFF4E5DD"/>
        </patternFill>
      </fill>
    </dxf>
    <dxf>
      <font>
        <b/>
        <color rgb="FF55745C"/>
      </font>
      <fill>
        <patternFill patternType="solid">
          <bgColor rgb="FFDCE8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opLeftCell="A11" workbookViewId="0">
      <selection sqref="A1:H2"/>
    </sheetView>
  </sheetViews>
  <sheetFormatPr baseColWidth="10" defaultColWidth="8.83203125" defaultRowHeight="14"/>
  <cols>
    <col min="1" max="1" width="13" customWidth="1"/>
    <col min="2" max="2" width="24" customWidth="1"/>
    <col min="3" max="3" width="34" customWidth="1"/>
    <col min="4" max="8" width="12" customWidth="1"/>
  </cols>
  <sheetData>
    <row r="1" spans="1:8" ht="32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32" customHeight="1">
      <c r="A2" s="37"/>
      <c r="B2" s="37"/>
      <c r="C2" s="37"/>
      <c r="D2" s="37"/>
      <c r="E2" s="37"/>
      <c r="F2" s="37"/>
      <c r="G2" s="37"/>
      <c r="H2" s="37"/>
    </row>
    <row r="3" spans="1:8" ht="46" customHeight="1">
      <c r="A3" s="38" t="s">
        <v>1</v>
      </c>
      <c r="B3" s="38"/>
      <c r="C3" s="38"/>
      <c r="D3" s="38"/>
      <c r="E3" s="38"/>
      <c r="F3" s="38"/>
      <c r="G3" s="38"/>
      <c r="H3" s="38"/>
    </row>
    <row r="4" spans="1:8" ht="24" customHeight="1"/>
    <row r="5" spans="1:8" ht="24" customHeight="1">
      <c r="A5" s="39" t="s">
        <v>2</v>
      </c>
      <c r="B5" s="39"/>
      <c r="C5" s="39"/>
      <c r="D5" s="39"/>
    </row>
    <row r="6" spans="1:8" ht="24" customHeight="1">
      <c r="A6" s="1" t="s">
        <v>3</v>
      </c>
      <c r="B6" s="1" t="s">
        <v>4</v>
      </c>
      <c r="C6" s="1" t="s">
        <v>5</v>
      </c>
    </row>
    <row r="7" spans="1:8" ht="24" customHeight="1">
      <c r="A7" s="2" t="s">
        <v>6</v>
      </c>
      <c r="B7" s="5">
        <f>COUNTIF(设计问卷!$B$6:$B$50,"必须回答")</f>
        <v>18</v>
      </c>
      <c r="C7" s="2" t="s">
        <v>7</v>
      </c>
    </row>
    <row r="8" spans="1:8" ht="24" customHeight="1">
      <c r="A8" s="3" t="s">
        <v>8</v>
      </c>
      <c r="B8" s="6">
        <f>COUNTIFS(设计问卷!$B$6:$B$50,"必须回答",设计问卷!$H$6:$H$50,"已填写")</f>
        <v>18</v>
      </c>
      <c r="C8" s="3" t="s">
        <v>9</v>
      </c>
    </row>
    <row r="9" spans="1:8" ht="24" customHeight="1">
      <c r="A9" s="3" t="s">
        <v>10</v>
      </c>
      <c r="B9" s="7">
        <f>IF(B7=0,0,B8/B7)</f>
        <v>1</v>
      </c>
      <c r="C9" s="3" t="s">
        <v>11</v>
      </c>
    </row>
    <row r="10" spans="1:8" ht="24" customHeight="1">
      <c r="A10" s="4" t="s">
        <v>12</v>
      </c>
      <c r="B10" s="8">
        <f>COUNTIF(设计问卷!$H$6:$H$50,"已填写")</f>
        <v>45</v>
      </c>
      <c r="C10" s="4" t="s">
        <v>13</v>
      </c>
    </row>
    <row r="11" spans="1:8" ht="24" customHeight="1"/>
    <row r="12" spans="1:8" ht="24" customHeight="1">
      <c r="A12" s="40" t="s">
        <v>14</v>
      </c>
      <c r="B12" s="40"/>
      <c r="C12" s="40"/>
      <c r="D12" s="40"/>
      <c r="E12" s="40"/>
      <c r="F12" s="40"/>
      <c r="G12" s="40"/>
      <c r="H12" s="40"/>
    </row>
    <row r="13" spans="1:8" ht="38" customHeight="1">
      <c r="A13" s="9" t="s">
        <v>15</v>
      </c>
      <c r="B13" s="41" t="s">
        <v>16</v>
      </c>
      <c r="C13" s="41"/>
      <c r="D13" s="41"/>
      <c r="E13" s="41"/>
      <c r="F13" s="41"/>
      <c r="G13" s="41"/>
      <c r="H13" s="41"/>
    </row>
    <row r="14" spans="1:8" ht="38" customHeight="1">
      <c r="A14" s="9" t="s">
        <v>17</v>
      </c>
      <c r="B14" s="41" t="s">
        <v>18</v>
      </c>
      <c r="C14" s="41"/>
      <c r="D14" s="41"/>
      <c r="E14" s="41"/>
      <c r="F14" s="41"/>
      <c r="G14" s="41"/>
      <c r="H14" s="41"/>
    </row>
    <row r="15" spans="1:8" ht="38" customHeight="1">
      <c r="A15" s="9" t="s">
        <v>19</v>
      </c>
      <c r="B15" s="41" t="s">
        <v>20</v>
      </c>
      <c r="C15" s="41"/>
      <c r="D15" s="41"/>
      <c r="E15" s="41"/>
      <c r="F15" s="41"/>
      <c r="G15" s="41"/>
      <c r="H15" s="41"/>
    </row>
    <row r="16" spans="1:8" ht="38" customHeight="1">
      <c r="A16" s="9" t="s">
        <v>21</v>
      </c>
      <c r="B16" s="41" t="s">
        <v>22</v>
      </c>
      <c r="C16" s="41"/>
      <c r="D16" s="41"/>
      <c r="E16" s="41"/>
      <c r="F16" s="41"/>
      <c r="G16" s="41"/>
      <c r="H16" s="41"/>
    </row>
    <row r="17" spans="1:8" ht="38" customHeight="1">
      <c r="A17" s="9" t="s">
        <v>23</v>
      </c>
      <c r="B17" s="41" t="s">
        <v>24</v>
      </c>
      <c r="C17" s="41"/>
      <c r="D17" s="41"/>
      <c r="E17" s="41"/>
      <c r="F17" s="41"/>
      <c r="G17" s="41"/>
      <c r="H17" s="41"/>
    </row>
    <row r="18" spans="1:8" ht="38" customHeight="1">
      <c r="A18" s="9" t="s">
        <v>25</v>
      </c>
      <c r="B18" s="41" t="s">
        <v>26</v>
      </c>
      <c r="C18" s="41"/>
      <c r="D18" s="41"/>
      <c r="E18" s="41"/>
      <c r="F18" s="41"/>
      <c r="G18" s="41"/>
      <c r="H18" s="41"/>
    </row>
    <row r="19" spans="1:8" ht="38" customHeight="1">
      <c r="A19" s="9" t="s">
        <v>27</v>
      </c>
      <c r="B19" s="41" t="s">
        <v>28</v>
      </c>
      <c r="C19" s="41"/>
      <c r="D19" s="41"/>
      <c r="E19" s="41"/>
      <c r="F19" s="41"/>
      <c r="G19" s="41"/>
      <c r="H19" s="41"/>
    </row>
    <row r="20" spans="1:8" ht="24" customHeight="1"/>
    <row r="21" spans="1:8" ht="24" customHeight="1">
      <c r="A21" s="40" t="s">
        <v>29</v>
      </c>
      <c r="B21" s="40"/>
      <c r="C21" s="40"/>
      <c r="D21" s="40"/>
      <c r="E21" s="40"/>
      <c r="F21" s="40"/>
      <c r="G21" s="40"/>
      <c r="H21" s="40"/>
    </row>
    <row r="22" spans="1:8" ht="24" customHeight="1">
      <c r="A22" s="10" t="s">
        <v>30</v>
      </c>
      <c r="B22" s="13" t="s">
        <v>31</v>
      </c>
    </row>
    <row r="23" spans="1:8" ht="24" customHeight="1">
      <c r="A23" s="11" t="s">
        <v>32</v>
      </c>
      <c r="B23" s="13" t="s">
        <v>33</v>
      </c>
    </row>
    <row r="24" spans="1:8" ht="24" customHeight="1">
      <c r="A24" s="12" t="s">
        <v>34</v>
      </c>
      <c r="B24" s="13" t="s">
        <v>35</v>
      </c>
    </row>
  </sheetData>
  <mergeCells count="12">
    <mergeCell ref="B19:H19"/>
    <mergeCell ref="A21:H21"/>
    <mergeCell ref="B14:H14"/>
    <mergeCell ref="B15:H15"/>
    <mergeCell ref="B16:H16"/>
    <mergeCell ref="B17:H17"/>
    <mergeCell ref="B18:H18"/>
    <mergeCell ref="A1:H2"/>
    <mergeCell ref="A3:H3"/>
    <mergeCell ref="A5:D5"/>
    <mergeCell ref="A12:H12"/>
    <mergeCell ref="B13:H13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showGridLines="0" tabSelected="1" workbookViewId="0">
      <selection activeCell="E50" sqref="E50"/>
    </sheetView>
  </sheetViews>
  <sheetFormatPr baseColWidth="10" defaultColWidth="8.83203125" defaultRowHeight="14"/>
  <cols>
    <col min="1" max="1" width="8" customWidth="1"/>
    <col min="2" max="2" width="13" customWidth="1"/>
    <col min="3" max="3" width="17" customWidth="1"/>
    <col min="4" max="4" width="49" customWidth="1"/>
    <col min="5" max="5" width="29" customWidth="1"/>
    <col min="6" max="6" width="44" customWidth="1"/>
    <col min="7" max="7" width="40" customWidth="1"/>
    <col min="8" max="8" width="13" customWidth="1"/>
  </cols>
  <sheetData>
    <row r="1" spans="1:8" ht="32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32" customHeight="1">
      <c r="A2" s="37"/>
      <c r="B2" s="37"/>
      <c r="C2" s="37"/>
      <c r="D2" s="37"/>
      <c r="E2" s="37"/>
      <c r="F2" s="37"/>
      <c r="G2" s="37"/>
      <c r="H2" s="37"/>
    </row>
    <row r="3" spans="1:8" ht="42" customHeight="1">
      <c r="A3" s="38" t="s">
        <v>36</v>
      </c>
      <c r="B3" s="38"/>
      <c r="C3" s="38"/>
      <c r="D3" s="38"/>
      <c r="E3" s="38"/>
      <c r="F3" s="38"/>
      <c r="G3" s="38"/>
      <c r="H3" s="38"/>
    </row>
    <row r="5" spans="1:8" ht="32" customHeight="1">
      <c r="A5" s="14" t="s">
        <v>37</v>
      </c>
      <c r="B5" s="14" t="s">
        <v>38</v>
      </c>
      <c r="C5" s="14" t="s">
        <v>39</v>
      </c>
      <c r="D5" s="14" t="s">
        <v>40</v>
      </c>
      <c r="E5" s="14" t="s">
        <v>41</v>
      </c>
      <c r="F5" s="14" t="s">
        <v>42</v>
      </c>
      <c r="G5" s="14" t="s">
        <v>43</v>
      </c>
      <c r="H5" s="14" t="s">
        <v>44</v>
      </c>
    </row>
    <row r="6" spans="1:8" ht="112" customHeight="1">
      <c r="A6" s="31" t="s">
        <v>45</v>
      </c>
      <c r="B6" s="32" t="s">
        <v>31</v>
      </c>
      <c r="C6" s="18" t="s">
        <v>46</v>
      </c>
      <c r="D6" s="21" t="s">
        <v>47</v>
      </c>
      <c r="E6" s="24" t="s">
        <v>191</v>
      </c>
      <c r="F6" s="42" t="s">
        <v>356</v>
      </c>
      <c r="G6" s="27" t="s">
        <v>48</v>
      </c>
      <c r="H6" s="29" t="str">
        <f t="shared" ref="H6:H50" si="0">IF(OR(E6&lt;&gt;"",F6&lt;&gt;""),"已填写","待填写")</f>
        <v>已填写</v>
      </c>
    </row>
    <row r="7" spans="1:8" ht="68" customHeight="1">
      <c r="A7" s="33" t="s">
        <v>49</v>
      </c>
      <c r="B7" s="34" t="s">
        <v>31</v>
      </c>
      <c r="C7" s="19" t="s">
        <v>46</v>
      </c>
      <c r="D7" s="22" t="s">
        <v>50</v>
      </c>
      <c r="E7" s="25" t="s">
        <v>197</v>
      </c>
      <c r="F7" s="25"/>
      <c r="G7" s="28" t="s">
        <v>51</v>
      </c>
      <c r="H7" s="30" t="str">
        <f t="shared" si="0"/>
        <v>已填写</v>
      </c>
    </row>
    <row r="8" spans="1:8" ht="68" customHeight="1">
      <c r="A8" s="33" t="s">
        <v>52</v>
      </c>
      <c r="B8" s="34" t="s">
        <v>31</v>
      </c>
      <c r="C8" s="19" t="s">
        <v>46</v>
      </c>
      <c r="D8" s="22" t="s">
        <v>53</v>
      </c>
      <c r="E8" s="25" t="s">
        <v>200</v>
      </c>
      <c r="F8" s="25"/>
      <c r="G8" s="28" t="s">
        <v>54</v>
      </c>
      <c r="H8" s="30" t="str">
        <f t="shared" si="0"/>
        <v>已填写</v>
      </c>
    </row>
    <row r="9" spans="1:8" ht="76" customHeight="1">
      <c r="A9" s="33" t="s">
        <v>55</v>
      </c>
      <c r="B9" s="34" t="s">
        <v>31</v>
      </c>
      <c r="C9" s="19" t="s">
        <v>46</v>
      </c>
      <c r="D9" s="22" t="s">
        <v>56</v>
      </c>
      <c r="E9" s="25" t="s">
        <v>204</v>
      </c>
      <c r="F9" s="25"/>
      <c r="G9" s="28" t="s">
        <v>57</v>
      </c>
      <c r="H9" s="30" t="str">
        <f t="shared" si="0"/>
        <v>已填写</v>
      </c>
    </row>
    <row r="10" spans="1:8" ht="68" customHeight="1">
      <c r="A10" s="33" t="s">
        <v>58</v>
      </c>
      <c r="B10" s="34" t="s">
        <v>31</v>
      </c>
      <c r="C10" s="19" t="s">
        <v>59</v>
      </c>
      <c r="D10" s="22" t="s">
        <v>60</v>
      </c>
      <c r="E10" s="25" t="s">
        <v>206</v>
      </c>
      <c r="F10" s="25"/>
      <c r="G10" s="28" t="s">
        <v>61</v>
      </c>
      <c r="H10" s="30" t="str">
        <f t="shared" si="0"/>
        <v>已填写</v>
      </c>
    </row>
    <row r="11" spans="1:8" ht="68" customHeight="1">
      <c r="A11" s="33" t="s">
        <v>62</v>
      </c>
      <c r="B11" s="34" t="s">
        <v>31</v>
      </c>
      <c r="C11" s="19" t="s">
        <v>59</v>
      </c>
      <c r="D11" s="22" t="s">
        <v>63</v>
      </c>
      <c r="E11" s="25" t="s">
        <v>212</v>
      </c>
      <c r="F11" s="25"/>
      <c r="G11" s="28" t="s">
        <v>64</v>
      </c>
      <c r="H11" s="30" t="str">
        <f t="shared" si="0"/>
        <v>已填写</v>
      </c>
    </row>
    <row r="12" spans="1:8" ht="68" customHeight="1">
      <c r="A12" s="33" t="s">
        <v>65</v>
      </c>
      <c r="B12" s="34" t="s">
        <v>31</v>
      </c>
      <c r="C12" s="19" t="s">
        <v>59</v>
      </c>
      <c r="D12" s="22" t="s">
        <v>66</v>
      </c>
      <c r="E12" s="25" t="s">
        <v>214</v>
      </c>
      <c r="F12" s="25"/>
      <c r="G12" s="28" t="s">
        <v>67</v>
      </c>
      <c r="H12" s="30" t="str">
        <f t="shared" si="0"/>
        <v>已填写</v>
      </c>
    </row>
    <row r="13" spans="1:8" ht="68" customHeight="1">
      <c r="A13" s="33" t="s">
        <v>68</v>
      </c>
      <c r="B13" s="34" t="s">
        <v>31</v>
      </c>
      <c r="C13" s="19" t="s">
        <v>59</v>
      </c>
      <c r="D13" s="22" t="s">
        <v>69</v>
      </c>
      <c r="E13" s="25" t="s">
        <v>219</v>
      </c>
      <c r="F13" s="25"/>
      <c r="G13" s="28" t="s">
        <v>70</v>
      </c>
      <c r="H13" s="30" t="str">
        <f t="shared" si="0"/>
        <v>已填写</v>
      </c>
    </row>
    <row r="14" spans="1:8" ht="68" customHeight="1">
      <c r="A14" s="33" t="s">
        <v>71</v>
      </c>
      <c r="B14" s="34" t="s">
        <v>31</v>
      </c>
      <c r="C14" s="19" t="s">
        <v>59</v>
      </c>
      <c r="D14" s="22" t="s">
        <v>72</v>
      </c>
      <c r="E14" s="25" t="s">
        <v>206</v>
      </c>
      <c r="F14" s="25"/>
      <c r="G14" s="28" t="s">
        <v>73</v>
      </c>
      <c r="H14" s="30" t="str">
        <f t="shared" si="0"/>
        <v>已填写</v>
      </c>
    </row>
    <row r="15" spans="1:8" ht="68" customHeight="1">
      <c r="A15" s="33" t="s">
        <v>74</v>
      </c>
      <c r="B15" s="34" t="s">
        <v>31</v>
      </c>
      <c r="C15" s="19" t="s">
        <v>59</v>
      </c>
      <c r="D15" s="22" t="s">
        <v>75</v>
      </c>
      <c r="E15" s="25" t="s">
        <v>224</v>
      </c>
      <c r="F15" s="25"/>
      <c r="G15" s="28" t="s">
        <v>76</v>
      </c>
      <c r="H15" s="30" t="str">
        <f t="shared" si="0"/>
        <v>已填写</v>
      </c>
    </row>
    <row r="16" spans="1:8" ht="78" customHeight="1">
      <c r="A16" s="33" t="s">
        <v>77</v>
      </c>
      <c r="B16" s="34" t="s">
        <v>31</v>
      </c>
      <c r="C16" s="19" t="s">
        <v>78</v>
      </c>
      <c r="D16" s="22" t="s">
        <v>79</v>
      </c>
      <c r="E16" s="25" t="s">
        <v>228</v>
      </c>
      <c r="F16" s="25"/>
      <c r="G16" s="28" t="s">
        <v>80</v>
      </c>
      <c r="H16" s="30" t="str">
        <f t="shared" si="0"/>
        <v>已填写</v>
      </c>
    </row>
    <row r="17" spans="1:8" ht="68" customHeight="1">
      <c r="A17" s="33" t="s">
        <v>81</v>
      </c>
      <c r="B17" s="34" t="s">
        <v>31</v>
      </c>
      <c r="C17" s="19" t="s">
        <v>78</v>
      </c>
      <c r="D17" s="22" t="s">
        <v>82</v>
      </c>
      <c r="E17" s="25" t="s">
        <v>232</v>
      </c>
      <c r="F17" s="25"/>
      <c r="G17" s="28" t="s">
        <v>83</v>
      </c>
      <c r="H17" s="30" t="str">
        <f t="shared" si="0"/>
        <v>已填写</v>
      </c>
    </row>
    <row r="18" spans="1:8" ht="68" customHeight="1">
      <c r="A18" s="35" t="s">
        <v>84</v>
      </c>
      <c r="B18" s="36" t="s">
        <v>33</v>
      </c>
      <c r="C18" s="19" t="s">
        <v>78</v>
      </c>
      <c r="D18" s="22" t="s">
        <v>85</v>
      </c>
      <c r="E18" s="25"/>
      <c r="F18" s="43" t="s">
        <v>357</v>
      </c>
      <c r="G18" s="28" t="s">
        <v>86</v>
      </c>
      <c r="H18" s="30" t="str">
        <f t="shared" si="0"/>
        <v>已填写</v>
      </c>
    </row>
    <row r="19" spans="1:8" ht="68" customHeight="1">
      <c r="A19" s="35" t="s">
        <v>87</v>
      </c>
      <c r="B19" s="36" t="s">
        <v>33</v>
      </c>
      <c r="C19" s="19" t="s">
        <v>78</v>
      </c>
      <c r="D19" s="22" t="s">
        <v>88</v>
      </c>
      <c r="E19" s="25" t="s">
        <v>242</v>
      </c>
      <c r="F19" s="25"/>
      <c r="G19" s="28" t="s">
        <v>89</v>
      </c>
      <c r="H19" s="30" t="str">
        <f t="shared" si="0"/>
        <v>已填写</v>
      </c>
    </row>
    <row r="20" spans="1:8" ht="68" customHeight="1">
      <c r="A20" s="35" t="s">
        <v>90</v>
      </c>
      <c r="B20" s="36" t="s">
        <v>33</v>
      </c>
      <c r="C20" s="19" t="s">
        <v>78</v>
      </c>
      <c r="D20" s="22" t="s">
        <v>91</v>
      </c>
      <c r="E20" s="25" t="s">
        <v>246</v>
      </c>
      <c r="F20" s="25"/>
      <c r="G20" s="28" t="s">
        <v>92</v>
      </c>
      <c r="H20" s="30" t="str">
        <f t="shared" si="0"/>
        <v>已填写</v>
      </c>
    </row>
    <row r="21" spans="1:8" ht="68" customHeight="1">
      <c r="A21" s="35" t="s">
        <v>93</v>
      </c>
      <c r="B21" s="36" t="s">
        <v>33</v>
      </c>
      <c r="C21" s="19" t="s">
        <v>78</v>
      </c>
      <c r="D21" s="22" t="s">
        <v>94</v>
      </c>
      <c r="E21" s="25" t="s">
        <v>209</v>
      </c>
      <c r="F21" s="25"/>
      <c r="G21" s="28" t="s">
        <v>95</v>
      </c>
      <c r="H21" s="30" t="str">
        <f t="shared" si="0"/>
        <v>已填写</v>
      </c>
    </row>
    <row r="22" spans="1:8" ht="68" customHeight="1">
      <c r="A22" s="35" t="s">
        <v>96</v>
      </c>
      <c r="B22" s="36" t="s">
        <v>33</v>
      </c>
      <c r="C22" s="19" t="s">
        <v>78</v>
      </c>
      <c r="D22" s="22" t="s">
        <v>97</v>
      </c>
      <c r="E22" s="25" t="s">
        <v>250</v>
      </c>
      <c r="F22" s="25"/>
      <c r="G22" s="28" t="s">
        <v>98</v>
      </c>
      <c r="H22" s="30" t="str">
        <f t="shared" si="0"/>
        <v>已填写</v>
      </c>
    </row>
    <row r="23" spans="1:8" ht="68" customHeight="1">
      <c r="A23" s="35" t="s">
        <v>99</v>
      </c>
      <c r="B23" s="36" t="s">
        <v>33</v>
      </c>
      <c r="C23" s="19" t="s">
        <v>100</v>
      </c>
      <c r="D23" s="22" t="s">
        <v>101</v>
      </c>
      <c r="E23" s="25"/>
      <c r="F23" s="43" t="s">
        <v>358</v>
      </c>
      <c r="G23" s="28" t="s">
        <v>102</v>
      </c>
      <c r="H23" s="30" t="str">
        <f t="shared" si="0"/>
        <v>已填写</v>
      </c>
    </row>
    <row r="24" spans="1:8" ht="68" customHeight="1">
      <c r="A24" s="35" t="s">
        <v>103</v>
      </c>
      <c r="B24" s="36" t="s">
        <v>33</v>
      </c>
      <c r="C24" s="19" t="s">
        <v>100</v>
      </c>
      <c r="D24" s="22" t="s">
        <v>104</v>
      </c>
      <c r="E24" s="25"/>
      <c r="F24" s="43" t="s">
        <v>359</v>
      </c>
      <c r="G24" s="28" t="s">
        <v>105</v>
      </c>
      <c r="H24" s="30" t="str">
        <f t="shared" si="0"/>
        <v>已填写</v>
      </c>
    </row>
    <row r="25" spans="1:8" ht="68" customHeight="1">
      <c r="A25" s="35" t="s">
        <v>106</v>
      </c>
      <c r="B25" s="36" t="s">
        <v>33</v>
      </c>
      <c r="C25" s="19" t="s">
        <v>100</v>
      </c>
      <c r="D25" s="22" t="s">
        <v>107</v>
      </c>
      <c r="E25" s="25" t="s">
        <v>262</v>
      </c>
      <c r="F25" s="25"/>
      <c r="G25" s="28" t="s">
        <v>108</v>
      </c>
      <c r="H25" s="30" t="str">
        <f t="shared" si="0"/>
        <v>已填写</v>
      </c>
    </row>
    <row r="26" spans="1:8" ht="68" customHeight="1">
      <c r="A26" s="35" t="s">
        <v>109</v>
      </c>
      <c r="B26" s="36" t="s">
        <v>33</v>
      </c>
      <c r="C26" s="19" t="s">
        <v>100</v>
      </c>
      <c r="D26" s="22" t="s">
        <v>110</v>
      </c>
      <c r="E26" s="25" t="s">
        <v>209</v>
      </c>
      <c r="F26" s="25"/>
      <c r="G26" s="28" t="s">
        <v>111</v>
      </c>
      <c r="H26" s="30" t="str">
        <f t="shared" si="0"/>
        <v>已填写</v>
      </c>
    </row>
    <row r="27" spans="1:8" ht="68" customHeight="1">
      <c r="A27" s="35" t="s">
        <v>112</v>
      </c>
      <c r="B27" s="36" t="s">
        <v>33</v>
      </c>
      <c r="C27" s="19" t="s">
        <v>100</v>
      </c>
      <c r="D27" s="22" t="s">
        <v>113</v>
      </c>
      <c r="E27" s="25" t="s">
        <v>271</v>
      </c>
      <c r="F27" s="25"/>
      <c r="G27" s="28" t="s">
        <v>114</v>
      </c>
      <c r="H27" s="30" t="str">
        <f t="shared" si="0"/>
        <v>已填写</v>
      </c>
    </row>
    <row r="28" spans="1:8" ht="68" customHeight="1">
      <c r="A28" s="35" t="s">
        <v>115</v>
      </c>
      <c r="B28" s="36" t="s">
        <v>33</v>
      </c>
      <c r="C28" s="19" t="s">
        <v>100</v>
      </c>
      <c r="D28" s="22" t="s">
        <v>116</v>
      </c>
      <c r="E28" s="25"/>
      <c r="F28" s="43" t="s">
        <v>360</v>
      </c>
      <c r="G28" s="28" t="s">
        <v>117</v>
      </c>
      <c r="H28" s="30" t="str">
        <f t="shared" si="0"/>
        <v>已填写</v>
      </c>
    </row>
    <row r="29" spans="1:8" ht="68" customHeight="1">
      <c r="A29" s="35" t="s">
        <v>118</v>
      </c>
      <c r="B29" s="36" t="s">
        <v>33</v>
      </c>
      <c r="C29" s="19" t="s">
        <v>100</v>
      </c>
      <c r="D29" s="22" t="s">
        <v>119</v>
      </c>
      <c r="E29" s="25" t="s">
        <v>278</v>
      </c>
      <c r="F29" s="25"/>
      <c r="G29" s="28" t="s">
        <v>120</v>
      </c>
      <c r="H29" s="30" t="str">
        <f t="shared" si="0"/>
        <v>已填写</v>
      </c>
    </row>
    <row r="30" spans="1:8" ht="68" customHeight="1">
      <c r="A30" s="33" t="s">
        <v>121</v>
      </c>
      <c r="B30" s="34" t="s">
        <v>31</v>
      </c>
      <c r="C30" s="19" t="s">
        <v>122</v>
      </c>
      <c r="D30" s="22" t="s">
        <v>123</v>
      </c>
      <c r="E30" s="25"/>
      <c r="F30" s="43" t="s">
        <v>361</v>
      </c>
      <c r="G30" s="28" t="s">
        <v>124</v>
      </c>
      <c r="H30" s="30" t="str">
        <f t="shared" si="0"/>
        <v>已填写</v>
      </c>
    </row>
    <row r="31" spans="1:8" ht="68" customHeight="1">
      <c r="A31" s="35" t="s">
        <v>125</v>
      </c>
      <c r="B31" s="36" t="s">
        <v>33</v>
      </c>
      <c r="C31" s="19" t="s">
        <v>122</v>
      </c>
      <c r="D31" s="22" t="s">
        <v>126</v>
      </c>
      <c r="E31" s="25" t="s">
        <v>283</v>
      </c>
      <c r="F31" s="25"/>
      <c r="G31" s="28" t="s">
        <v>127</v>
      </c>
      <c r="H31" s="30" t="str">
        <f t="shared" si="0"/>
        <v>已填写</v>
      </c>
    </row>
    <row r="32" spans="1:8" ht="68" customHeight="1">
      <c r="A32" s="35" t="s">
        <v>128</v>
      </c>
      <c r="B32" s="36" t="s">
        <v>33</v>
      </c>
      <c r="C32" s="19" t="s">
        <v>122</v>
      </c>
      <c r="D32" s="22" t="s">
        <v>129</v>
      </c>
      <c r="E32" s="25" t="s">
        <v>286</v>
      </c>
      <c r="F32" s="25"/>
      <c r="G32" s="28" t="s">
        <v>130</v>
      </c>
      <c r="H32" s="30" t="str">
        <f t="shared" si="0"/>
        <v>已填写</v>
      </c>
    </row>
    <row r="33" spans="1:8" ht="68" customHeight="1">
      <c r="A33" s="35" t="s">
        <v>131</v>
      </c>
      <c r="B33" s="36" t="s">
        <v>33</v>
      </c>
      <c r="C33" s="19" t="s">
        <v>122</v>
      </c>
      <c r="D33" s="22" t="s">
        <v>132</v>
      </c>
      <c r="E33" s="25" t="s">
        <v>209</v>
      </c>
      <c r="F33" s="25"/>
      <c r="G33" s="28" t="s">
        <v>133</v>
      </c>
      <c r="H33" s="30" t="str">
        <f t="shared" si="0"/>
        <v>已填写</v>
      </c>
    </row>
    <row r="34" spans="1:8" ht="68" customHeight="1">
      <c r="A34" s="35" t="s">
        <v>134</v>
      </c>
      <c r="B34" s="36" t="s">
        <v>33</v>
      </c>
      <c r="C34" s="19" t="s">
        <v>122</v>
      </c>
      <c r="D34" s="22" t="s">
        <v>135</v>
      </c>
      <c r="E34" s="25" t="s">
        <v>294</v>
      </c>
      <c r="F34" s="25"/>
      <c r="G34" s="28" t="s">
        <v>136</v>
      </c>
      <c r="H34" s="30" t="str">
        <f t="shared" si="0"/>
        <v>已填写</v>
      </c>
    </row>
    <row r="35" spans="1:8" ht="68" customHeight="1">
      <c r="A35" s="33" t="s">
        <v>137</v>
      </c>
      <c r="B35" s="34" t="s">
        <v>31</v>
      </c>
      <c r="C35" s="19" t="s">
        <v>138</v>
      </c>
      <c r="D35" s="22" t="s">
        <v>139</v>
      </c>
      <c r="E35" s="25" t="s">
        <v>300</v>
      </c>
      <c r="F35" s="25"/>
      <c r="G35" s="28" t="s">
        <v>140</v>
      </c>
      <c r="H35" s="30" t="str">
        <f t="shared" si="0"/>
        <v>已填写</v>
      </c>
    </row>
    <row r="36" spans="1:8" ht="68" customHeight="1">
      <c r="A36" s="35" t="s">
        <v>141</v>
      </c>
      <c r="B36" s="36" t="s">
        <v>33</v>
      </c>
      <c r="C36" s="19" t="s">
        <v>138</v>
      </c>
      <c r="D36" s="22" t="s">
        <v>142</v>
      </c>
      <c r="E36" s="25" t="s">
        <v>302</v>
      </c>
      <c r="F36" s="25"/>
      <c r="G36" s="28" t="s">
        <v>143</v>
      </c>
      <c r="H36" s="30" t="str">
        <f t="shared" si="0"/>
        <v>已填写</v>
      </c>
    </row>
    <row r="37" spans="1:8" ht="68" customHeight="1">
      <c r="A37" s="35" t="s">
        <v>144</v>
      </c>
      <c r="B37" s="36" t="s">
        <v>33</v>
      </c>
      <c r="C37" s="19" t="s">
        <v>138</v>
      </c>
      <c r="D37" s="22" t="s">
        <v>145</v>
      </c>
      <c r="E37" s="25" t="s">
        <v>307</v>
      </c>
      <c r="F37" s="25"/>
      <c r="G37" s="28" t="s">
        <v>146</v>
      </c>
      <c r="H37" s="30" t="str">
        <f t="shared" si="0"/>
        <v>已填写</v>
      </c>
    </row>
    <row r="38" spans="1:8" ht="68" customHeight="1">
      <c r="A38" s="35" t="s">
        <v>147</v>
      </c>
      <c r="B38" s="36" t="s">
        <v>33</v>
      </c>
      <c r="C38" s="19" t="s">
        <v>138</v>
      </c>
      <c r="D38" s="22" t="s">
        <v>148</v>
      </c>
      <c r="E38" s="25" t="s">
        <v>209</v>
      </c>
      <c r="F38" s="25"/>
      <c r="G38" s="28" t="s">
        <v>149</v>
      </c>
      <c r="H38" s="30" t="str">
        <f t="shared" si="0"/>
        <v>已填写</v>
      </c>
    </row>
    <row r="39" spans="1:8" ht="68" customHeight="1">
      <c r="A39" s="35" t="s">
        <v>150</v>
      </c>
      <c r="B39" s="36" t="s">
        <v>33</v>
      </c>
      <c r="C39" s="19" t="s">
        <v>138</v>
      </c>
      <c r="D39" s="22" t="s">
        <v>151</v>
      </c>
      <c r="E39" s="25" t="s">
        <v>209</v>
      </c>
      <c r="F39" s="25"/>
      <c r="G39" s="28" t="s">
        <v>152</v>
      </c>
      <c r="H39" s="30" t="str">
        <f t="shared" si="0"/>
        <v>已填写</v>
      </c>
    </row>
    <row r="40" spans="1:8" ht="68" customHeight="1">
      <c r="A40" s="35" t="s">
        <v>153</v>
      </c>
      <c r="B40" s="36" t="s">
        <v>33</v>
      </c>
      <c r="C40" s="19" t="s">
        <v>138</v>
      </c>
      <c r="D40" s="22" t="s">
        <v>154</v>
      </c>
      <c r="E40" s="25" t="s">
        <v>321</v>
      </c>
      <c r="F40" s="25"/>
      <c r="G40" s="28" t="s">
        <v>155</v>
      </c>
      <c r="H40" s="30" t="str">
        <f t="shared" si="0"/>
        <v>已填写</v>
      </c>
    </row>
    <row r="41" spans="1:8" ht="68" customHeight="1">
      <c r="A41" s="35" t="s">
        <v>156</v>
      </c>
      <c r="B41" s="36" t="s">
        <v>33</v>
      </c>
      <c r="C41" s="19" t="s">
        <v>157</v>
      </c>
      <c r="D41" s="22" t="s">
        <v>158</v>
      </c>
      <c r="E41" s="25" t="s">
        <v>326</v>
      </c>
      <c r="F41" s="25"/>
      <c r="G41" s="28" t="s">
        <v>159</v>
      </c>
      <c r="H41" s="30" t="str">
        <f t="shared" si="0"/>
        <v>已填写</v>
      </c>
    </row>
    <row r="42" spans="1:8" ht="68" customHeight="1">
      <c r="A42" s="35" t="s">
        <v>160</v>
      </c>
      <c r="B42" s="36" t="s">
        <v>33</v>
      </c>
      <c r="C42" s="19" t="s">
        <v>157</v>
      </c>
      <c r="D42" s="22" t="s">
        <v>161</v>
      </c>
      <c r="E42" s="25" t="s">
        <v>328</v>
      </c>
      <c r="F42" s="25"/>
      <c r="G42" s="28" t="s">
        <v>162</v>
      </c>
      <c r="H42" s="30" t="str">
        <f t="shared" si="0"/>
        <v>已填写</v>
      </c>
    </row>
    <row r="43" spans="1:8" ht="68" customHeight="1">
      <c r="A43" s="35" t="s">
        <v>163</v>
      </c>
      <c r="B43" s="36" t="s">
        <v>33</v>
      </c>
      <c r="C43" s="19" t="s">
        <v>157</v>
      </c>
      <c r="D43" s="22" t="s">
        <v>164</v>
      </c>
      <c r="E43" s="25" t="s">
        <v>333</v>
      </c>
      <c r="F43" s="25"/>
      <c r="G43" s="28" t="s">
        <v>165</v>
      </c>
      <c r="H43" s="30" t="str">
        <f t="shared" si="0"/>
        <v>已填写</v>
      </c>
    </row>
    <row r="44" spans="1:8" ht="68" customHeight="1">
      <c r="A44" s="35" t="s">
        <v>166</v>
      </c>
      <c r="B44" s="36" t="s">
        <v>33</v>
      </c>
      <c r="C44" s="19" t="s">
        <v>157</v>
      </c>
      <c r="D44" s="22" t="s">
        <v>167</v>
      </c>
      <c r="E44" s="25" t="s">
        <v>335</v>
      </c>
      <c r="F44" s="25"/>
      <c r="G44" s="28" t="s">
        <v>168</v>
      </c>
      <c r="H44" s="30" t="str">
        <f t="shared" si="0"/>
        <v>已填写</v>
      </c>
    </row>
    <row r="45" spans="1:8" ht="68" customHeight="1">
      <c r="A45" s="35" t="s">
        <v>169</v>
      </c>
      <c r="B45" s="36" t="s">
        <v>33</v>
      </c>
      <c r="C45" s="19" t="s">
        <v>157</v>
      </c>
      <c r="D45" s="22" t="s">
        <v>170</v>
      </c>
      <c r="E45" s="25" t="s">
        <v>209</v>
      </c>
      <c r="F45" s="25"/>
      <c r="G45" s="28" t="s">
        <v>171</v>
      </c>
      <c r="H45" s="30" t="str">
        <f t="shared" si="0"/>
        <v>已填写</v>
      </c>
    </row>
    <row r="46" spans="1:8" ht="68" customHeight="1">
      <c r="A46" s="35" t="s">
        <v>172</v>
      </c>
      <c r="B46" s="36" t="s">
        <v>33</v>
      </c>
      <c r="C46" s="19" t="s">
        <v>157</v>
      </c>
      <c r="D46" s="22" t="s">
        <v>173</v>
      </c>
      <c r="E46" s="25" t="s">
        <v>209</v>
      </c>
      <c r="F46" s="25"/>
      <c r="G46" s="28" t="s">
        <v>174</v>
      </c>
      <c r="H46" s="30" t="str">
        <f t="shared" si="0"/>
        <v>已填写</v>
      </c>
    </row>
    <row r="47" spans="1:8" ht="68" customHeight="1">
      <c r="A47" s="33" t="s">
        <v>175</v>
      </c>
      <c r="B47" s="34" t="s">
        <v>31</v>
      </c>
      <c r="C47" s="19" t="s">
        <v>176</v>
      </c>
      <c r="D47" s="22" t="s">
        <v>177</v>
      </c>
      <c r="E47" s="25" t="s">
        <v>345</v>
      </c>
      <c r="F47" s="25"/>
      <c r="G47" s="28" t="s">
        <v>178</v>
      </c>
      <c r="H47" s="30" t="str">
        <f t="shared" si="0"/>
        <v>已填写</v>
      </c>
    </row>
    <row r="48" spans="1:8" ht="68" customHeight="1">
      <c r="A48" s="33" t="s">
        <v>179</v>
      </c>
      <c r="B48" s="34" t="s">
        <v>31</v>
      </c>
      <c r="C48" s="19" t="s">
        <v>176</v>
      </c>
      <c r="D48" s="22" t="s">
        <v>180</v>
      </c>
      <c r="E48" s="25" t="s">
        <v>348</v>
      </c>
      <c r="F48" s="25"/>
      <c r="G48" s="28" t="s">
        <v>181</v>
      </c>
      <c r="H48" s="30" t="str">
        <f t="shared" si="0"/>
        <v>已填写</v>
      </c>
    </row>
    <row r="49" spans="1:8" ht="68" customHeight="1">
      <c r="A49" s="33" t="s">
        <v>182</v>
      </c>
      <c r="B49" s="34" t="s">
        <v>31</v>
      </c>
      <c r="C49" s="19" t="s">
        <v>176</v>
      </c>
      <c r="D49" s="22" t="s">
        <v>183</v>
      </c>
      <c r="E49" s="25" t="s">
        <v>352</v>
      </c>
      <c r="F49" s="25"/>
      <c r="G49" s="28" t="s">
        <v>184</v>
      </c>
      <c r="H49" s="30" t="str">
        <f t="shared" si="0"/>
        <v>已填写</v>
      </c>
    </row>
    <row r="50" spans="1:8" ht="68" customHeight="1">
      <c r="A50" s="33" t="s">
        <v>185</v>
      </c>
      <c r="B50" s="34" t="s">
        <v>31</v>
      </c>
      <c r="C50" s="20" t="s">
        <v>176</v>
      </c>
      <c r="D50" s="23" t="s">
        <v>186</v>
      </c>
      <c r="E50" s="26" t="s">
        <v>353</v>
      </c>
      <c r="F50" s="26"/>
      <c r="G50" s="28" t="s">
        <v>187</v>
      </c>
      <c r="H50" s="30" t="str">
        <f t="shared" si="0"/>
        <v>已填写</v>
      </c>
    </row>
  </sheetData>
  <mergeCells count="2">
    <mergeCell ref="A1:H2"/>
    <mergeCell ref="A3:H3"/>
  </mergeCells>
  <phoneticPr fontId="17" type="noConversion"/>
  <conditionalFormatting sqref="H6:H50">
    <cfRule type="containsText" dxfId="1" priority="1" operator="containsText" text="已填写"/>
    <cfRule type="containsText" dxfId="0" priority="2" operator="containsText" text="待填写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5">
        <x14:dataValidation type="list" xr:uid="{00000000-0002-0000-0100-000000000000}">
          <x14:formula1>
            <xm:f>'下拉选项（勿改）'!$C$2:$C$5</xm:f>
          </x14:formula1>
          <xm:sqref>E6</xm:sqref>
        </x14:dataValidation>
        <x14:dataValidation type="list" xr:uid="{00000000-0002-0000-0100-000001000000}">
          <x14:formula1>
            <xm:f>'下拉选项（勿改）'!$C$6:$C$9</xm:f>
          </x14:formula1>
          <xm:sqref>E7</xm:sqref>
        </x14:dataValidation>
        <x14:dataValidation type="list" xr:uid="{00000000-0002-0000-0100-000002000000}">
          <x14:formula1>
            <xm:f>'下拉选项（勿改）'!$C$10:$C$13</xm:f>
          </x14:formula1>
          <xm:sqref>E8</xm:sqref>
        </x14:dataValidation>
        <x14:dataValidation type="list" xr:uid="{00000000-0002-0000-0100-000003000000}">
          <x14:formula1>
            <xm:f>'下拉选项（勿改）'!$C$14:$C$17</xm:f>
          </x14:formula1>
          <xm:sqref>E9</xm:sqref>
        </x14:dataValidation>
        <x14:dataValidation type="list" xr:uid="{00000000-0002-0000-0100-000004000000}">
          <x14:formula1>
            <xm:f>'下拉选项（勿改）'!$C$18:$C$21</xm:f>
          </x14:formula1>
          <xm:sqref>E10</xm:sqref>
        </x14:dataValidation>
        <x14:dataValidation type="list" xr:uid="{00000000-0002-0000-0100-000005000000}">
          <x14:formula1>
            <xm:f>'下拉选项（勿改）'!$C$22:$C$25</xm:f>
          </x14:formula1>
          <xm:sqref>E11</xm:sqref>
        </x14:dataValidation>
        <x14:dataValidation type="list" xr:uid="{00000000-0002-0000-0100-000006000000}">
          <x14:formula1>
            <xm:f>'下拉选项（勿改）'!$C$26:$C$29</xm:f>
          </x14:formula1>
          <xm:sqref>E12</xm:sqref>
        </x14:dataValidation>
        <x14:dataValidation type="list" xr:uid="{00000000-0002-0000-0100-000007000000}">
          <x14:formula1>
            <xm:f>'下拉选项（勿改）'!$C$30:$C$33</xm:f>
          </x14:formula1>
          <xm:sqref>E13</xm:sqref>
        </x14:dataValidation>
        <x14:dataValidation type="list" xr:uid="{00000000-0002-0000-0100-000008000000}">
          <x14:formula1>
            <xm:f>'下拉选项（勿改）'!$C$34:$C$37</xm:f>
          </x14:formula1>
          <xm:sqref>E14</xm:sqref>
        </x14:dataValidation>
        <x14:dataValidation type="list" xr:uid="{00000000-0002-0000-0100-000009000000}">
          <x14:formula1>
            <xm:f>'下拉选项（勿改）'!$C$38:$C$41</xm:f>
          </x14:formula1>
          <xm:sqref>E15</xm:sqref>
        </x14:dataValidation>
        <x14:dataValidation type="list" xr:uid="{00000000-0002-0000-0100-00000A000000}">
          <x14:formula1>
            <xm:f>'下拉选项（勿改）'!$C$42:$C$46</xm:f>
          </x14:formula1>
          <xm:sqref>E16</xm:sqref>
        </x14:dataValidation>
        <x14:dataValidation type="list" xr:uid="{00000000-0002-0000-0100-00000B000000}">
          <x14:formula1>
            <xm:f>'下拉选项（勿改）'!$C$47:$C$51</xm:f>
          </x14:formula1>
          <xm:sqref>E17</xm:sqref>
        </x14:dataValidation>
        <x14:dataValidation type="list" xr:uid="{00000000-0002-0000-0100-00000C000000}">
          <x14:formula1>
            <xm:f>'下拉选项（勿改）'!$C$52:$C$57</xm:f>
          </x14:formula1>
          <xm:sqref>E18</xm:sqref>
        </x14:dataValidation>
        <x14:dataValidation type="list" xr:uid="{00000000-0002-0000-0100-00000D000000}">
          <x14:formula1>
            <xm:f>'下拉选项（勿改）'!$C$58:$C$61</xm:f>
          </x14:formula1>
          <xm:sqref>E19</xm:sqref>
        </x14:dataValidation>
        <x14:dataValidation type="list" xr:uid="{00000000-0002-0000-0100-00000E000000}">
          <x14:formula1>
            <xm:f>'下拉选项（勿改）'!$C$62:$C$65</xm:f>
          </x14:formula1>
          <xm:sqref>E20</xm:sqref>
        </x14:dataValidation>
        <x14:dataValidation type="list" xr:uid="{00000000-0002-0000-0100-00000F000000}">
          <x14:formula1>
            <xm:f>'下拉选项（勿改）'!$C$66:$C$69</xm:f>
          </x14:formula1>
          <xm:sqref>E21</xm:sqref>
        </x14:dataValidation>
        <x14:dataValidation type="list" xr:uid="{00000000-0002-0000-0100-000010000000}">
          <x14:formula1>
            <xm:f>'下拉选项（勿改）'!$C$70:$C$73</xm:f>
          </x14:formula1>
          <xm:sqref>E22</xm:sqref>
        </x14:dataValidation>
        <x14:dataValidation type="list" xr:uid="{00000000-0002-0000-0100-000011000000}">
          <x14:formula1>
            <xm:f>'下拉选项（勿改）'!$C$74:$C$78</xm:f>
          </x14:formula1>
          <xm:sqref>E23</xm:sqref>
        </x14:dataValidation>
        <x14:dataValidation type="list" xr:uid="{00000000-0002-0000-0100-000012000000}">
          <x14:formula1>
            <xm:f>'下拉选项（勿改）'!$C$79:$C$83</xm:f>
          </x14:formula1>
          <xm:sqref>E24</xm:sqref>
        </x14:dataValidation>
        <x14:dataValidation type="list" xr:uid="{00000000-0002-0000-0100-000013000000}">
          <x14:formula1>
            <xm:f>'下拉选项（勿改）'!$C$84:$C$88</xm:f>
          </x14:formula1>
          <xm:sqref>E25</xm:sqref>
        </x14:dataValidation>
        <x14:dataValidation type="list" xr:uid="{00000000-0002-0000-0100-000014000000}">
          <x14:formula1>
            <xm:f>'下拉选项（勿改）'!$C$89:$C$92</xm:f>
          </x14:formula1>
          <xm:sqref>E26</xm:sqref>
        </x14:dataValidation>
        <x14:dataValidation type="list" xr:uid="{00000000-0002-0000-0100-000015000000}">
          <x14:formula1>
            <xm:f>'下拉选项（勿改）'!$C$93:$C$97</xm:f>
          </x14:formula1>
          <xm:sqref>E27</xm:sqref>
        </x14:dataValidation>
        <x14:dataValidation type="list" xr:uid="{00000000-0002-0000-0100-000016000000}">
          <x14:formula1>
            <xm:f>'下拉选项（勿改）'!$C$98:$C$101</xm:f>
          </x14:formula1>
          <xm:sqref>E28</xm:sqref>
        </x14:dataValidation>
        <x14:dataValidation type="list" xr:uid="{00000000-0002-0000-0100-000017000000}">
          <x14:formula1>
            <xm:f>'下拉选项（勿改）'!$C$102:$C$105</xm:f>
          </x14:formula1>
          <xm:sqref>E29</xm:sqref>
        </x14:dataValidation>
        <x14:dataValidation type="list" xr:uid="{00000000-0002-0000-0100-000018000000}">
          <x14:formula1>
            <xm:f>'下拉选项（勿改）'!$C$106:$C$109</xm:f>
          </x14:formula1>
          <xm:sqref>E30</xm:sqref>
        </x14:dataValidation>
        <x14:dataValidation type="list" xr:uid="{00000000-0002-0000-0100-000019000000}">
          <x14:formula1>
            <xm:f>'下拉选项（勿改）'!$C$110:$C$113</xm:f>
          </x14:formula1>
          <xm:sqref>E31</xm:sqref>
        </x14:dataValidation>
        <x14:dataValidation type="list" xr:uid="{00000000-0002-0000-0100-00001A000000}">
          <x14:formula1>
            <xm:f>'下拉选项（勿改）'!$C$114:$C$117</xm:f>
          </x14:formula1>
          <xm:sqref>E32</xm:sqref>
        </x14:dataValidation>
        <x14:dataValidation type="list" xr:uid="{00000000-0002-0000-0100-00001B000000}">
          <x14:formula1>
            <xm:f>'下拉选项（勿改）'!$C$118:$C$122</xm:f>
          </x14:formula1>
          <xm:sqref>E33</xm:sqref>
        </x14:dataValidation>
        <x14:dataValidation type="list" xr:uid="{00000000-0002-0000-0100-00001C000000}">
          <x14:formula1>
            <xm:f>'下拉选项（勿改）'!$C$123:$C$126</xm:f>
          </x14:formula1>
          <xm:sqref>E34</xm:sqref>
        </x14:dataValidation>
        <x14:dataValidation type="list" xr:uid="{00000000-0002-0000-0100-00001D000000}">
          <x14:formula1>
            <xm:f>'下拉选项（勿改）'!$C$127:$C$131</xm:f>
          </x14:formula1>
          <xm:sqref>E35</xm:sqref>
        </x14:dataValidation>
        <x14:dataValidation type="list" xr:uid="{00000000-0002-0000-0100-00001E000000}">
          <x14:formula1>
            <xm:f>'下拉选项（勿改）'!$C$132:$C$138</xm:f>
          </x14:formula1>
          <xm:sqref>E36</xm:sqref>
        </x14:dataValidation>
        <x14:dataValidation type="list" xr:uid="{00000000-0002-0000-0100-00001F000000}">
          <x14:formula1>
            <xm:f>'下拉选项（勿改）'!$C$139:$C$142</xm:f>
          </x14:formula1>
          <xm:sqref>E37</xm:sqref>
        </x14:dataValidation>
        <x14:dataValidation type="list" xr:uid="{00000000-0002-0000-0100-000020000000}">
          <x14:formula1>
            <xm:f>'下拉选项（勿改）'!$C$143:$C$147</xm:f>
          </x14:formula1>
          <xm:sqref>E38</xm:sqref>
        </x14:dataValidation>
        <x14:dataValidation type="list" xr:uid="{00000000-0002-0000-0100-000021000000}">
          <x14:formula1>
            <xm:f>'下拉选项（勿改）'!$C$148:$C$151</xm:f>
          </x14:formula1>
          <xm:sqref>E39</xm:sqref>
        </x14:dataValidation>
        <x14:dataValidation type="list" xr:uid="{00000000-0002-0000-0100-000022000000}">
          <x14:formula1>
            <xm:f>'下拉选项（勿改）'!$C$152:$C$156</xm:f>
          </x14:formula1>
          <xm:sqref>E40</xm:sqref>
        </x14:dataValidation>
        <x14:dataValidation type="list" xr:uid="{00000000-0002-0000-0100-000023000000}">
          <x14:formula1>
            <xm:f>'下拉选项（勿改）'!$C$157:$C$163</xm:f>
          </x14:formula1>
          <xm:sqref>E41</xm:sqref>
        </x14:dataValidation>
        <x14:dataValidation type="list" xr:uid="{00000000-0002-0000-0100-000024000000}">
          <x14:formula1>
            <xm:f>'下拉选项（勿改）'!$C$164:$C$168</xm:f>
          </x14:formula1>
          <xm:sqref>E42</xm:sqref>
        </x14:dataValidation>
        <x14:dataValidation type="list" xr:uid="{00000000-0002-0000-0100-000025000000}">
          <x14:formula1>
            <xm:f>'下拉选项（勿改）'!$C$169:$C$172</xm:f>
          </x14:formula1>
          <xm:sqref>E43</xm:sqref>
        </x14:dataValidation>
        <x14:dataValidation type="list" xr:uid="{00000000-0002-0000-0100-000026000000}">
          <x14:formula1>
            <xm:f>'下拉选项（勿改）'!$C$173:$C$177</xm:f>
          </x14:formula1>
          <xm:sqref>E44</xm:sqref>
        </x14:dataValidation>
        <x14:dataValidation type="list" xr:uid="{00000000-0002-0000-0100-000027000000}">
          <x14:formula1>
            <xm:f>'下拉选项（勿改）'!$C$178:$C$181</xm:f>
          </x14:formula1>
          <xm:sqref>E45</xm:sqref>
        </x14:dataValidation>
        <x14:dataValidation type="list" xr:uid="{00000000-0002-0000-0100-000028000000}">
          <x14:formula1>
            <xm:f>'下拉选项（勿改）'!$C$182:$C$185</xm:f>
          </x14:formula1>
          <xm:sqref>E46</xm:sqref>
        </x14:dataValidation>
        <x14:dataValidation type="list" xr:uid="{00000000-0002-0000-0100-000029000000}">
          <x14:formula1>
            <xm:f>'下拉选项（勿改）'!$C$186:$C$189</xm:f>
          </x14:formula1>
          <xm:sqref>E47</xm:sqref>
        </x14:dataValidation>
        <x14:dataValidation type="list" xr:uid="{00000000-0002-0000-0100-00002A000000}">
          <x14:formula1>
            <xm:f>'下拉选项（勿改）'!$C$190:$C$193</xm:f>
          </x14:formula1>
          <xm:sqref>E48</xm:sqref>
        </x14:dataValidation>
        <x14:dataValidation type="list" xr:uid="{00000000-0002-0000-0100-00002B000000}">
          <x14:formula1>
            <xm:f>'下拉选项（勿改）'!$C$194:$C$197</xm:f>
          </x14:formula1>
          <xm:sqref>E49</xm:sqref>
        </x14:dataValidation>
        <x14:dataValidation type="list" xr:uid="{00000000-0002-0000-0100-00002C000000}">
          <x14:formula1>
            <xm:f>'下拉选项（勿改）'!$C$198:$C$201</xm:f>
          </x14:formula1>
          <xm:sqref>E50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showGridLines="0" workbookViewId="0"/>
  </sheetViews>
  <sheetFormatPr baseColWidth="10" defaultColWidth="8.83203125" defaultRowHeight="14"/>
  <cols>
    <col min="1" max="1" width="12" customWidth="1"/>
    <col min="2" max="2" width="10" customWidth="1"/>
    <col min="3" max="3" width="34" customWidth="1"/>
  </cols>
  <sheetData>
    <row r="1" spans="1:3" ht="16">
      <c r="A1" s="14" t="s">
        <v>188</v>
      </c>
      <c r="B1" s="14" t="s">
        <v>189</v>
      </c>
      <c r="C1" s="14" t="s">
        <v>190</v>
      </c>
    </row>
    <row r="2" spans="1:3">
      <c r="A2" s="15" t="s">
        <v>45</v>
      </c>
      <c r="B2" s="15">
        <v>1</v>
      </c>
      <c r="C2" s="15" t="s">
        <v>191</v>
      </c>
    </row>
    <row r="3" spans="1:3">
      <c r="A3" s="16" t="s">
        <v>45</v>
      </c>
      <c r="B3" s="16">
        <v>2</v>
      </c>
      <c r="C3" s="16" t="s">
        <v>192</v>
      </c>
    </row>
    <row r="4" spans="1:3">
      <c r="A4" s="16" t="s">
        <v>45</v>
      </c>
      <c r="B4" s="16">
        <v>3</v>
      </c>
      <c r="C4" s="16" t="s">
        <v>193</v>
      </c>
    </row>
    <row r="5" spans="1:3">
      <c r="A5" s="16" t="s">
        <v>45</v>
      </c>
      <c r="B5" s="16">
        <v>4</v>
      </c>
      <c r="C5" s="16" t="s">
        <v>194</v>
      </c>
    </row>
    <row r="6" spans="1:3">
      <c r="A6" s="16" t="s">
        <v>49</v>
      </c>
      <c r="B6" s="16">
        <v>1</v>
      </c>
      <c r="C6" s="16" t="s">
        <v>195</v>
      </c>
    </row>
    <row r="7" spans="1:3">
      <c r="A7" s="16" t="s">
        <v>49</v>
      </c>
      <c r="B7" s="16">
        <v>2</v>
      </c>
      <c r="C7" s="16" t="s">
        <v>196</v>
      </c>
    </row>
    <row r="8" spans="1:3">
      <c r="A8" s="16" t="s">
        <v>49</v>
      </c>
      <c r="B8" s="16">
        <v>3</v>
      </c>
      <c r="C8" s="16" t="s">
        <v>197</v>
      </c>
    </row>
    <row r="9" spans="1:3">
      <c r="A9" s="16" t="s">
        <v>49</v>
      </c>
      <c r="B9" s="16">
        <v>4</v>
      </c>
      <c r="C9" s="16" t="s">
        <v>198</v>
      </c>
    </row>
    <row r="10" spans="1:3">
      <c r="A10" s="16" t="s">
        <v>52</v>
      </c>
      <c r="B10" s="16">
        <v>1</v>
      </c>
      <c r="C10" s="16" t="s">
        <v>199</v>
      </c>
    </row>
    <row r="11" spans="1:3">
      <c r="A11" s="16" t="s">
        <v>52</v>
      </c>
      <c r="B11" s="16">
        <v>2</v>
      </c>
      <c r="C11" s="16" t="s">
        <v>200</v>
      </c>
    </row>
    <row r="12" spans="1:3">
      <c r="A12" s="16" t="s">
        <v>52</v>
      </c>
      <c r="B12" s="16">
        <v>3</v>
      </c>
      <c r="C12" s="16" t="s">
        <v>201</v>
      </c>
    </row>
    <row r="13" spans="1:3">
      <c r="A13" s="16" t="s">
        <v>52</v>
      </c>
      <c r="B13" s="16">
        <v>4</v>
      </c>
      <c r="C13" s="16" t="s">
        <v>198</v>
      </c>
    </row>
    <row r="14" spans="1:3">
      <c r="A14" s="16" t="s">
        <v>55</v>
      </c>
      <c r="B14" s="16">
        <v>1</v>
      </c>
      <c r="C14" s="16" t="s">
        <v>202</v>
      </c>
    </row>
    <row r="15" spans="1:3">
      <c r="A15" s="16" t="s">
        <v>55</v>
      </c>
      <c r="B15" s="16">
        <v>2</v>
      </c>
      <c r="C15" s="16" t="s">
        <v>203</v>
      </c>
    </row>
    <row r="16" spans="1:3">
      <c r="A16" s="16" t="s">
        <v>55</v>
      </c>
      <c r="B16" s="16">
        <v>3</v>
      </c>
      <c r="C16" s="16" t="s">
        <v>204</v>
      </c>
    </row>
    <row r="17" spans="1:3">
      <c r="A17" s="16" t="s">
        <v>55</v>
      </c>
      <c r="B17" s="16">
        <v>4</v>
      </c>
      <c r="C17" s="16" t="s">
        <v>205</v>
      </c>
    </row>
    <row r="18" spans="1:3">
      <c r="A18" s="16" t="s">
        <v>58</v>
      </c>
      <c r="B18" s="16">
        <v>1</v>
      </c>
      <c r="C18" s="16" t="s">
        <v>206</v>
      </c>
    </row>
    <row r="19" spans="1:3">
      <c r="A19" s="16" t="s">
        <v>58</v>
      </c>
      <c r="B19" s="16">
        <v>2</v>
      </c>
      <c r="C19" s="16" t="s">
        <v>207</v>
      </c>
    </row>
    <row r="20" spans="1:3">
      <c r="A20" s="16" t="s">
        <v>58</v>
      </c>
      <c r="B20" s="16">
        <v>3</v>
      </c>
      <c r="C20" s="16" t="s">
        <v>208</v>
      </c>
    </row>
    <row r="21" spans="1:3">
      <c r="A21" s="16" t="s">
        <v>58</v>
      </c>
      <c r="B21" s="16">
        <v>4</v>
      </c>
      <c r="C21" s="16" t="s">
        <v>209</v>
      </c>
    </row>
    <row r="22" spans="1:3">
      <c r="A22" s="16" t="s">
        <v>62</v>
      </c>
      <c r="B22" s="16">
        <v>1</v>
      </c>
      <c r="C22" s="16" t="s">
        <v>210</v>
      </c>
    </row>
    <row r="23" spans="1:3">
      <c r="A23" s="16" t="s">
        <v>62</v>
      </c>
      <c r="B23" s="16">
        <v>2</v>
      </c>
      <c r="C23" s="16" t="s">
        <v>211</v>
      </c>
    </row>
    <row r="24" spans="1:3">
      <c r="A24" s="16" t="s">
        <v>62</v>
      </c>
      <c r="B24" s="16">
        <v>3</v>
      </c>
      <c r="C24" s="16" t="s">
        <v>212</v>
      </c>
    </row>
    <row r="25" spans="1:3">
      <c r="A25" s="16" t="s">
        <v>62</v>
      </c>
      <c r="B25" s="16">
        <v>4</v>
      </c>
      <c r="C25" s="16" t="s">
        <v>213</v>
      </c>
    </row>
    <row r="26" spans="1:3">
      <c r="A26" s="16" t="s">
        <v>65</v>
      </c>
      <c r="B26" s="16">
        <v>1</v>
      </c>
      <c r="C26" s="16" t="s">
        <v>214</v>
      </c>
    </row>
    <row r="27" spans="1:3">
      <c r="A27" s="16" t="s">
        <v>65</v>
      </c>
      <c r="B27" s="16">
        <v>2</v>
      </c>
      <c r="C27" s="16" t="s">
        <v>215</v>
      </c>
    </row>
    <row r="28" spans="1:3">
      <c r="A28" s="16" t="s">
        <v>65</v>
      </c>
      <c r="B28" s="16">
        <v>3</v>
      </c>
      <c r="C28" s="16" t="s">
        <v>216</v>
      </c>
    </row>
    <row r="29" spans="1:3">
      <c r="A29" s="16" t="s">
        <v>65</v>
      </c>
      <c r="B29" s="16">
        <v>4</v>
      </c>
      <c r="C29" s="16" t="s">
        <v>217</v>
      </c>
    </row>
    <row r="30" spans="1:3">
      <c r="A30" s="16" t="s">
        <v>68</v>
      </c>
      <c r="B30" s="16">
        <v>1</v>
      </c>
      <c r="C30" s="16" t="s">
        <v>218</v>
      </c>
    </row>
    <row r="31" spans="1:3">
      <c r="A31" s="16" t="s">
        <v>68</v>
      </c>
      <c r="B31" s="16">
        <v>2</v>
      </c>
      <c r="C31" s="16" t="s">
        <v>219</v>
      </c>
    </row>
    <row r="32" spans="1:3">
      <c r="A32" s="16" t="s">
        <v>68</v>
      </c>
      <c r="B32" s="16">
        <v>3</v>
      </c>
      <c r="C32" s="16" t="s">
        <v>220</v>
      </c>
    </row>
    <row r="33" spans="1:3">
      <c r="A33" s="16" t="s">
        <v>68</v>
      </c>
      <c r="B33" s="16">
        <v>4</v>
      </c>
      <c r="C33" s="16" t="s">
        <v>209</v>
      </c>
    </row>
    <row r="34" spans="1:3">
      <c r="A34" s="16" t="s">
        <v>71</v>
      </c>
      <c r="B34" s="16">
        <v>1</v>
      </c>
      <c r="C34" s="16" t="s">
        <v>221</v>
      </c>
    </row>
    <row r="35" spans="1:3">
      <c r="A35" s="16" t="s">
        <v>71</v>
      </c>
      <c r="B35" s="16">
        <v>2</v>
      </c>
      <c r="C35" s="16" t="s">
        <v>222</v>
      </c>
    </row>
    <row r="36" spans="1:3">
      <c r="A36" s="16" t="s">
        <v>71</v>
      </c>
      <c r="B36" s="16">
        <v>3</v>
      </c>
      <c r="C36" s="16" t="s">
        <v>223</v>
      </c>
    </row>
    <row r="37" spans="1:3">
      <c r="A37" s="16" t="s">
        <v>71</v>
      </c>
      <c r="B37" s="16">
        <v>4</v>
      </c>
      <c r="C37" s="16" t="s">
        <v>206</v>
      </c>
    </row>
    <row r="38" spans="1:3">
      <c r="A38" s="16" t="s">
        <v>74</v>
      </c>
      <c r="B38" s="16">
        <v>1</v>
      </c>
      <c r="C38" s="16" t="s">
        <v>224</v>
      </c>
    </row>
    <row r="39" spans="1:3">
      <c r="A39" s="16" t="s">
        <v>74</v>
      </c>
      <c r="B39" s="16">
        <v>2</v>
      </c>
      <c r="C39" s="16" t="s">
        <v>225</v>
      </c>
    </row>
    <row r="40" spans="1:3">
      <c r="A40" s="16" t="s">
        <v>74</v>
      </c>
      <c r="B40" s="16">
        <v>3</v>
      </c>
      <c r="C40" s="16" t="s">
        <v>226</v>
      </c>
    </row>
    <row r="41" spans="1:3">
      <c r="A41" s="16" t="s">
        <v>74</v>
      </c>
      <c r="B41" s="16">
        <v>4</v>
      </c>
      <c r="C41" s="16" t="s">
        <v>227</v>
      </c>
    </row>
    <row r="42" spans="1:3">
      <c r="A42" s="16" t="s">
        <v>77</v>
      </c>
      <c r="B42" s="16">
        <v>1</v>
      </c>
      <c r="C42" s="16" t="s">
        <v>228</v>
      </c>
    </row>
    <row r="43" spans="1:3">
      <c r="A43" s="16" t="s">
        <v>77</v>
      </c>
      <c r="B43" s="16">
        <v>2</v>
      </c>
      <c r="C43" s="16" t="s">
        <v>229</v>
      </c>
    </row>
    <row r="44" spans="1:3">
      <c r="A44" s="16" t="s">
        <v>77</v>
      </c>
      <c r="B44" s="16">
        <v>3</v>
      </c>
      <c r="C44" s="16" t="s">
        <v>230</v>
      </c>
    </row>
    <row r="45" spans="1:3">
      <c r="A45" s="16" t="s">
        <v>77</v>
      </c>
      <c r="B45" s="16">
        <v>4</v>
      </c>
      <c r="C45" s="16" t="s">
        <v>231</v>
      </c>
    </row>
    <row r="46" spans="1:3">
      <c r="A46" s="16" t="s">
        <v>77</v>
      </c>
      <c r="B46" s="16">
        <v>5</v>
      </c>
      <c r="C46" s="16" t="s">
        <v>209</v>
      </c>
    </row>
    <row r="47" spans="1:3">
      <c r="A47" s="16" t="s">
        <v>81</v>
      </c>
      <c r="B47" s="16">
        <v>1</v>
      </c>
      <c r="C47" s="16" t="s">
        <v>232</v>
      </c>
    </row>
    <row r="48" spans="1:3">
      <c r="A48" s="16" t="s">
        <v>81</v>
      </c>
      <c r="B48" s="16">
        <v>2</v>
      </c>
      <c r="C48" s="16" t="s">
        <v>233</v>
      </c>
    </row>
    <row r="49" spans="1:3">
      <c r="A49" s="16" t="s">
        <v>81</v>
      </c>
      <c r="B49" s="16">
        <v>3</v>
      </c>
      <c r="C49" s="16" t="s">
        <v>234</v>
      </c>
    </row>
    <row r="50" spans="1:3">
      <c r="A50" s="16" t="s">
        <v>81</v>
      </c>
      <c r="B50" s="16">
        <v>4</v>
      </c>
      <c r="C50" s="16" t="s">
        <v>235</v>
      </c>
    </row>
    <row r="51" spans="1:3">
      <c r="A51" s="16" t="s">
        <v>81</v>
      </c>
      <c r="B51" s="16">
        <v>5</v>
      </c>
      <c r="C51" s="16" t="s">
        <v>209</v>
      </c>
    </row>
    <row r="52" spans="1:3">
      <c r="A52" s="16" t="s">
        <v>84</v>
      </c>
      <c r="B52" s="16">
        <v>1</v>
      </c>
      <c r="C52" s="16" t="s">
        <v>236</v>
      </c>
    </row>
    <row r="53" spans="1:3">
      <c r="A53" s="16" t="s">
        <v>84</v>
      </c>
      <c r="B53" s="16">
        <v>2</v>
      </c>
      <c r="C53" s="16" t="s">
        <v>237</v>
      </c>
    </row>
    <row r="54" spans="1:3">
      <c r="A54" s="16" t="s">
        <v>84</v>
      </c>
      <c r="B54" s="16">
        <v>3</v>
      </c>
      <c r="C54" s="16" t="s">
        <v>238</v>
      </c>
    </row>
    <row r="55" spans="1:3">
      <c r="A55" s="16" t="s">
        <v>84</v>
      </c>
      <c r="B55" s="16">
        <v>4</v>
      </c>
      <c r="C55" s="16" t="s">
        <v>239</v>
      </c>
    </row>
    <row r="56" spans="1:3">
      <c r="A56" s="16" t="s">
        <v>84</v>
      </c>
      <c r="B56" s="16">
        <v>5</v>
      </c>
      <c r="C56" s="16" t="s">
        <v>240</v>
      </c>
    </row>
    <row r="57" spans="1:3">
      <c r="A57" s="16" t="s">
        <v>84</v>
      </c>
      <c r="B57" s="16">
        <v>6</v>
      </c>
      <c r="C57" s="16" t="s">
        <v>209</v>
      </c>
    </row>
    <row r="58" spans="1:3">
      <c r="A58" s="16" t="s">
        <v>87</v>
      </c>
      <c r="B58" s="16">
        <v>1</v>
      </c>
      <c r="C58" s="16" t="s">
        <v>241</v>
      </c>
    </row>
    <row r="59" spans="1:3">
      <c r="A59" s="16" t="s">
        <v>87</v>
      </c>
      <c r="B59" s="16">
        <v>2</v>
      </c>
      <c r="C59" s="16" t="s">
        <v>242</v>
      </c>
    </row>
    <row r="60" spans="1:3">
      <c r="A60" s="16" t="s">
        <v>87</v>
      </c>
      <c r="B60" s="16">
        <v>3</v>
      </c>
      <c r="C60" s="16" t="s">
        <v>243</v>
      </c>
    </row>
    <row r="61" spans="1:3">
      <c r="A61" s="16" t="s">
        <v>87</v>
      </c>
      <c r="B61" s="16">
        <v>4</v>
      </c>
      <c r="C61" s="16" t="s">
        <v>209</v>
      </c>
    </row>
    <row r="62" spans="1:3">
      <c r="A62" s="16" t="s">
        <v>90</v>
      </c>
      <c r="B62" s="16">
        <v>1</v>
      </c>
      <c r="C62" s="16" t="s">
        <v>244</v>
      </c>
    </row>
    <row r="63" spans="1:3">
      <c r="A63" s="16" t="s">
        <v>90</v>
      </c>
      <c r="B63" s="16">
        <v>2</v>
      </c>
      <c r="C63" s="16" t="s">
        <v>245</v>
      </c>
    </row>
    <row r="64" spans="1:3">
      <c r="A64" s="16" t="s">
        <v>90</v>
      </c>
      <c r="B64" s="16">
        <v>3</v>
      </c>
      <c r="C64" s="16" t="s">
        <v>246</v>
      </c>
    </row>
    <row r="65" spans="1:3">
      <c r="A65" s="16" t="s">
        <v>90</v>
      </c>
      <c r="B65" s="16">
        <v>4</v>
      </c>
      <c r="C65" s="16" t="s">
        <v>209</v>
      </c>
    </row>
    <row r="66" spans="1:3">
      <c r="A66" s="16" t="s">
        <v>93</v>
      </c>
      <c r="B66" s="16">
        <v>1</v>
      </c>
      <c r="C66" s="16" t="s">
        <v>247</v>
      </c>
    </row>
    <row r="67" spans="1:3">
      <c r="A67" s="16" t="s">
        <v>93</v>
      </c>
      <c r="B67" s="16">
        <v>2</v>
      </c>
      <c r="C67" s="16" t="s">
        <v>248</v>
      </c>
    </row>
    <row r="68" spans="1:3">
      <c r="A68" s="16" t="s">
        <v>93</v>
      </c>
      <c r="B68" s="16">
        <v>3</v>
      </c>
      <c r="C68" s="16" t="s">
        <v>249</v>
      </c>
    </row>
    <row r="69" spans="1:3">
      <c r="A69" s="16" t="s">
        <v>93</v>
      </c>
      <c r="B69" s="16">
        <v>4</v>
      </c>
      <c r="C69" s="16" t="s">
        <v>209</v>
      </c>
    </row>
    <row r="70" spans="1:3">
      <c r="A70" s="16" t="s">
        <v>96</v>
      </c>
      <c r="B70" s="16">
        <v>1</v>
      </c>
      <c r="C70" s="16" t="s">
        <v>250</v>
      </c>
    </row>
    <row r="71" spans="1:3">
      <c r="A71" s="16" t="s">
        <v>96</v>
      </c>
      <c r="B71" s="16">
        <v>2</v>
      </c>
      <c r="C71" s="16" t="s">
        <v>251</v>
      </c>
    </row>
    <row r="72" spans="1:3">
      <c r="A72" s="16" t="s">
        <v>96</v>
      </c>
      <c r="B72" s="16">
        <v>3</v>
      </c>
      <c r="C72" s="16" t="s">
        <v>252</v>
      </c>
    </row>
    <row r="73" spans="1:3">
      <c r="A73" s="16" t="s">
        <v>96</v>
      </c>
      <c r="B73" s="16">
        <v>4</v>
      </c>
      <c r="C73" s="16" t="s">
        <v>209</v>
      </c>
    </row>
    <row r="74" spans="1:3">
      <c r="A74" s="16" t="s">
        <v>99</v>
      </c>
      <c r="B74" s="16">
        <v>1</v>
      </c>
      <c r="C74" s="16" t="s">
        <v>253</v>
      </c>
    </row>
    <row r="75" spans="1:3">
      <c r="A75" s="16" t="s">
        <v>99</v>
      </c>
      <c r="B75" s="16">
        <v>2</v>
      </c>
      <c r="C75" s="16" t="s">
        <v>254</v>
      </c>
    </row>
    <row r="76" spans="1:3">
      <c r="A76" s="16" t="s">
        <v>99</v>
      </c>
      <c r="B76" s="16">
        <v>3</v>
      </c>
      <c r="C76" s="16" t="s">
        <v>255</v>
      </c>
    </row>
    <row r="77" spans="1:3">
      <c r="A77" s="16" t="s">
        <v>99</v>
      </c>
      <c r="B77" s="16">
        <v>4</v>
      </c>
      <c r="C77" s="16" t="s">
        <v>256</v>
      </c>
    </row>
    <row r="78" spans="1:3">
      <c r="A78" s="16" t="s">
        <v>99</v>
      </c>
      <c r="B78" s="16">
        <v>5</v>
      </c>
      <c r="C78" s="16" t="s">
        <v>209</v>
      </c>
    </row>
    <row r="79" spans="1:3">
      <c r="A79" s="16" t="s">
        <v>103</v>
      </c>
      <c r="B79" s="16">
        <v>1</v>
      </c>
      <c r="C79" s="16" t="s">
        <v>257</v>
      </c>
    </row>
    <row r="80" spans="1:3">
      <c r="A80" s="16" t="s">
        <v>103</v>
      </c>
      <c r="B80" s="16">
        <v>2</v>
      </c>
      <c r="C80" s="16" t="s">
        <v>258</v>
      </c>
    </row>
    <row r="81" spans="1:3">
      <c r="A81" s="16" t="s">
        <v>103</v>
      </c>
      <c r="B81" s="16">
        <v>3</v>
      </c>
      <c r="C81" s="16" t="s">
        <v>259</v>
      </c>
    </row>
    <row r="82" spans="1:3">
      <c r="A82" s="16" t="s">
        <v>103</v>
      </c>
      <c r="B82" s="16">
        <v>4</v>
      </c>
      <c r="C82" s="16" t="s">
        <v>260</v>
      </c>
    </row>
    <row r="83" spans="1:3">
      <c r="A83" s="16" t="s">
        <v>103</v>
      </c>
      <c r="B83" s="16">
        <v>5</v>
      </c>
      <c r="C83" s="16" t="s">
        <v>209</v>
      </c>
    </row>
    <row r="84" spans="1:3">
      <c r="A84" s="16" t="s">
        <v>106</v>
      </c>
      <c r="B84" s="16">
        <v>1</v>
      </c>
      <c r="C84" s="16" t="s">
        <v>261</v>
      </c>
    </row>
    <row r="85" spans="1:3">
      <c r="A85" s="16" t="s">
        <v>106</v>
      </c>
      <c r="B85" s="16">
        <v>2</v>
      </c>
      <c r="C85" s="16" t="s">
        <v>262</v>
      </c>
    </row>
    <row r="86" spans="1:3">
      <c r="A86" s="16" t="s">
        <v>106</v>
      </c>
      <c r="B86" s="16">
        <v>3</v>
      </c>
      <c r="C86" s="16" t="s">
        <v>263</v>
      </c>
    </row>
    <row r="87" spans="1:3">
      <c r="A87" s="16" t="s">
        <v>106</v>
      </c>
      <c r="B87" s="16">
        <v>4</v>
      </c>
      <c r="C87" s="16" t="s">
        <v>264</v>
      </c>
    </row>
    <row r="88" spans="1:3">
      <c r="A88" s="16" t="s">
        <v>106</v>
      </c>
      <c r="B88" s="16">
        <v>5</v>
      </c>
      <c r="C88" s="16" t="s">
        <v>265</v>
      </c>
    </row>
    <row r="89" spans="1:3">
      <c r="A89" s="16" t="s">
        <v>109</v>
      </c>
      <c r="B89" s="16">
        <v>1</v>
      </c>
      <c r="C89" s="16" t="s">
        <v>266</v>
      </c>
    </row>
    <row r="90" spans="1:3">
      <c r="A90" s="16" t="s">
        <v>109</v>
      </c>
      <c r="B90" s="16">
        <v>2</v>
      </c>
      <c r="C90" s="16" t="s">
        <v>267</v>
      </c>
    </row>
    <row r="91" spans="1:3">
      <c r="A91" s="16" t="s">
        <v>109</v>
      </c>
      <c r="B91" s="16">
        <v>3</v>
      </c>
      <c r="C91" s="16" t="s">
        <v>268</v>
      </c>
    </row>
    <row r="92" spans="1:3">
      <c r="A92" s="16" t="s">
        <v>109</v>
      </c>
      <c r="B92" s="16">
        <v>4</v>
      </c>
      <c r="C92" s="16" t="s">
        <v>209</v>
      </c>
    </row>
    <row r="93" spans="1:3">
      <c r="A93" s="16" t="s">
        <v>112</v>
      </c>
      <c r="B93" s="16">
        <v>1</v>
      </c>
      <c r="C93" s="16" t="s">
        <v>269</v>
      </c>
    </row>
    <row r="94" spans="1:3">
      <c r="A94" s="16" t="s">
        <v>112</v>
      </c>
      <c r="B94" s="16">
        <v>2</v>
      </c>
      <c r="C94" s="16" t="s">
        <v>270</v>
      </c>
    </row>
    <row r="95" spans="1:3">
      <c r="A95" s="16" t="s">
        <v>112</v>
      </c>
      <c r="B95" s="16">
        <v>3</v>
      </c>
      <c r="C95" s="16" t="s">
        <v>271</v>
      </c>
    </row>
    <row r="96" spans="1:3">
      <c r="A96" s="16" t="s">
        <v>112</v>
      </c>
      <c r="B96" s="16">
        <v>4</v>
      </c>
      <c r="C96" s="16" t="s">
        <v>272</v>
      </c>
    </row>
    <row r="97" spans="1:3">
      <c r="A97" s="16" t="s">
        <v>112</v>
      </c>
      <c r="B97" s="16">
        <v>5</v>
      </c>
      <c r="C97" s="16" t="s">
        <v>209</v>
      </c>
    </row>
    <row r="98" spans="1:3">
      <c r="A98" s="16" t="s">
        <v>115</v>
      </c>
      <c r="B98" s="16">
        <v>1</v>
      </c>
      <c r="C98" s="16" t="s">
        <v>273</v>
      </c>
    </row>
    <row r="99" spans="1:3">
      <c r="A99" s="16" t="s">
        <v>115</v>
      </c>
      <c r="B99" s="16">
        <v>2</v>
      </c>
      <c r="C99" s="16" t="s">
        <v>274</v>
      </c>
    </row>
    <row r="100" spans="1:3">
      <c r="A100" s="16" t="s">
        <v>115</v>
      </c>
      <c r="B100" s="16">
        <v>3</v>
      </c>
      <c r="C100" s="16" t="s">
        <v>275</v>
      </c>
    </row>
    <row r="101" spans="1:3">
      <c r="A101" s="16" t="s">
        <v>115</v>
      </c>
      <c r="B101" s="16">
        <v>4</v>
      </c>
      <c r="C101" s="16" t="s">
        <v>209</v>
      </c>
    </row>
    <row r="102" spans="1:3">
      <c r="A102" s="16" t="s">
        <v>118</v>
      </c>
      <c r="B102" s="16">
        <v>1</v>
      </c>
      <c r="C102" s="16" t="s">
        <v>276</v>
      </c>
    </row>
    <row r="103" spans="1:3">
      <c r="A103" s="16" t="s">
        <v>118</v>
      </c>
      <c r="B103" s="16">
        <v>2</v>
      </c>
      <c r="C103" s="16" t="s">
        <v>277</v>
      </c>
    </row>
    <row r="104" spans="1:3">
      <c r="A104" s="16" t="s">
        <v>118</v>
      </c>
      <c r="B104" s="16">
        <v>3</v>
      </c>
      <c r="C104" s="16" t="s">
        <v>278</v>
      </c>
    </row>
    <row r="105" spans="1:3">
      <c r="A105" s="16" t="s">
        <v>118</v>
      </c>
      <c r="B105" s="16">
        <v>4</v>
      </c>
      <c r="C105" s="16" t="s">
        <v>209</v>
      </c>
    </row>
    <row r="106" spans="1:3">
      <c r="A106" s="16" t="s">
        <v>121</v>
      </c>
      <c r="B106" s="16">
        <v>1</v>
      </c>
      <c r="C106" s="16" t="s">
        <v>279</v>
      </c>
    </row>
    <row r="107" spans="1:3">
      <c r="A107" s="16" t="s">
        <v>121</v>
      </c>
      <c r="B107" s="16">
        <v>2</v>
      </c>
      <c r="C107" s="16" t="s">
        <v>280</v>
      </c>
    </row>
    <row r="108" spans="1:3">
      <c r="A108" s="16" t="s">
        <v>121</v>
      </c>
      <c r="B108" s="16">
        <v>3</v>
      </c>
      <c r="C108" s="16" t="s">
        <v>281</v>
      </c>
    </row>
    <row r="109" spans="1:3">
      <c r="A109" s="16" t="s">
        <v>121</v>
      </c>
      <c r="B109" s="16">
        <v>4</v>
      </c>
      <c r="C109" s="16" t="s">
        <v>282</v>
      </c>
    </row>
    <row r="110" spans="1:3">
      <c r="A110" s="16" t="s">
        <v>125</v>
      </c>
      <c r="B110" s="16">
        <v>1</v>
      </c>
      <c r="C110" s="16" t="s">
        <v>283</v>
      </c>
    </row>
    <row r="111" spans="1:3">
      <c r="A111" s="16" t="s">
        <v>125</v>
      </c>
      <c r="B111" s="16">
        <v>2</v>
      </c>
      <c r="C111" s="16" t="s">
        <v>284</v>
      </c>
    </row>
    <row r="112" spans="1:3">
      <c r="A112" s="16" t="s">
        <v>125</v>
      </c>
      <c r="B112" s="16">
        <v>3</v>
      </c>
      <c r="C112" s="16" t="s">
        <v>285</v>
      </c>
    </row>
    <row r="113" spans="1:3">
      <c r="A113" s="16" t="s">
        <v>125</v>
      </c>
      <c r="B113" s="16">
        <v>4</v>
      </c>
      <c r="C113" s="16" t="s">
        <v>209</v>
      </c>
    </row>
    <row r="114" spans="1:3">
      <c r="A114" s="16" t="s">
        <v>128</v>
      </c>
      <c r="B114" s="16">
        <v>1</v>
      </c>
      <c r="C114" s="16" t="s">
        <v>286</v>
      </c>
    </row>
    <row r="115" spans="1:3">
      <c r="A115" s="16" t="s">
        <v>128</v>
      </c>
      <c r="B115" s="16">
        <v>2</v>
      </c>
      <c r="C115" s="16" t="s">
        <v>287</v>
      </c>
    </row>
    <row r="116" spans="1:3">
      <c r="A116" s="16" t="s">
        <v>128</v>
      </c>
      <c r="B116" s="16">
        <v>3</v>
      </c>
      <c r="C116" s="16" t="s">
        <v>288</v>
      </c>
    </row>
    <row r="117" spans="1:3">
      <c r="A117" s="16" t="s">
        <v>128</v>
      </c>
      <c r="B117" s="16">
        <v>4</v>
      </c>
      <c r="C117" s="16" t="s">
        <v>289</v>
      </c>
    </row>
    <row r="118" spans="1:3">
      <c r="A118" s="16" t="s">
        <v>131</v>
      </c>
      <c r="B118" s="16">
        <v>1</v>
      </c>
      <c r="C118" s="16" t="s">
        <v>290</v>
      </c>
    </row>
    <row r="119" spans="1:3">
      <c r="A119" s="16" t="s">
        <v>131</v>
      </c>
      <c r="B119" s="16">
        <v>2</v>
      </c>
      <c r="C119" s="16" t="s">
        <v>291</v>
      </c>
    </row>
    <row r="120" spans="1:3">
      <c r="A120" s="16" t="s">
        <v>131</v>
      </c>
      <c r="B120" s="16">
        <v>3</v>
      </c>
      <c r="C120" s="16" t="s">
        <v>292</v>
      </c>
    </row>
    <row r="121" spans="1:3">
      <c r="A121" s="16" t="s">
        <v>131</v>
      </c>
      <c r="B121" s="16">
        <v>4</v>
      </c>
      <c r="C121" s="16" t="s">
        <v>293</v>
      </c>
    </row>
    <row r="122" spans="1:3">
      <c r="A122" s="16" t="s">
        <v>131</v>
      </c>
      <c r="B122" s="16">
        <v>5</v>
      </c>
      <c r="C122" s="16" t="s">
        <v>209</v>
      </c>
    </row>
    <row r="123" spans="1:3">
      <c r="A123" s="16" t="s">
        <v>134</v>
      </c>
      <c r="B123" s="16">
        <v>1</v>
      </c>
      <c r="C123" s="16" t="s">
        <v>294</v>
      </c>
    </row>
    <row r="124" spans="1:3">
      <c r="A124" s="16" t="s">
        <v>134</v>
      </c>
      <c r="B124" s="16">
        <v>2</v>
      </c>
      <c r="C124" s="16" t="s">
        <v>295</v>
      </c>
    </row>
    <row r="125" spans="1:3">
      <c r="A125" s="16" t="s">
        <v>134</v>
      </c>
      <c r="B125" s="16">
        <v>3</v>
      </c>
      <c r="C125" s="16" t="s">
        <v>296</v>
      </c>
    </row>
    <row r="126" spans="1:3">
      <c r="A126" s="16" t="s">
        <v>134</v>
      </c>
      <c r="B126" s="16">
        <v>4</v>
      </c>
      <c r="C126" s="16" t="s">
        <v>209</v>
      </c>
    </row>
    <row r="127" spans="1:3">
      <c r="A127" s="16" t="s">
        <v>137</v>
      </c>
      <c r="B127" s="16">
        <v>1</v>
      </c>
      <c r="C127" s="16" t="s">
        <v>297</v>
      </c>
    </row>
    <row r="128" spans="1:3">
      <c r="A128" s="16" t="s">
        <v>137</v>
      </c>
      <c r="B128" s="16">
        <v>2</v>
      </c>
      <c r="C128" s="16" t="s">
        <v>298</v>
      </c>
    </row>
    <row r="129" spans="1:3">
      <c r="A129" s="16" t="s">
        <v>137</v>
      </c>
      <c r="B129" s="16">
        <v>3</v>
      </c>
      <c r="C129" s="16" t="s">
        <v>299</v>
      </c>
    </row>
    <row r="130" spans="1:3">
      <c r="A130" s="16" t="s">
        <v>137</v>
      </c>
      <c r="B130" s="16">
        <v>4</v>
      </c>
      <c r="C130" s="16" t="s">
        <v>300</v>
      </c>
    </row>
    <row r="131" spans="1:3">
      <c r="A131" s="16" t="s">
        <v>137</v>
      </c>
      <c r="B131" s="16">
        <v>5</v>
      </c>
      <c r="C131" s="16" t="s">
        <v>209</v>
      </c>
    </row>
    <row r="132" spans="1:3">
      <c r="A132" s="16" t="s">
        <v>141</v>
      </c>
      <c r="B132" s="16">
        <v>1</v>
      </c>
      <c r="C132" s="16" t="s">
        <v>301</v>
      </c>
    </row>
    <row r="133" spans="1:3">
      <c r="A133" s="16" t="s">
        <v>141</v>
      </c>
      <c r="B133" s="16">
        <v>2</v>
      </c>
      <c r="C133" s="16" t="s">
        <v>302</v>
      </c>
    </row>
    <row r="134" spans="1:3">
      <c r="A134" s="16" t="s">
        <v>141</v>
      </c>
      <c r="B134" s="16">
        <v>3</v>
      </c>
      <c r="C134" s="16" t="s">
        <v>303</v>
      </c>
    </row>
    <row r="135" spans="1:3">
      <c r="A135" s="16" t="s">
        <v>141</v>
      </c>
      <c r="B135" s="16">
        <v>4</v>
      </c>
      <c r="C135" s="16" t="s">
        <v>304</v>
      </c>
    </row>
    <row r="136" spans="1:3">
      <c r="A136" s="16" t="s">
        <v>141</v>
      </c>
      <c r="B136" s="16">
        <v>5</v>
      </c>
      <c r="C136" s="16" t="s">
        <v>305</v>
      </c>
    </row>
    <row r="137" spans="1:3">
      <c r="A137" s="16" t="s">
        <v>141</v>
      </c>
      <c r="B137" s="16">
        <v>6</v>
      </c>
      <c r="C137" s="16" t="s">
        <v>306</v>
      </c>
    </row>
    <row r="138" spans="1:3">
      <c r="A138" s="16" t="s">
        <v>141</v>
      </c>
      <c r="B138" s="16">
        <v>7</v>
      </c>
      <c r="C138" s="16" t="s">
        <v>209</v>
      </c>
    </row>
    <row r="139" spans="1:3">
      <c r="A139" s="16" t="s">
        <v>144</v>
      </c>
      <c r="B139" s="16">
        <v>1</v>
      </c>
      <c r="C139" s="16" t="s">
        <v>307</v>
      </c>
    </row>
    <row r="140" spans="1:3">
      <c r="A140" s="16" t="s">
        <v>144</v>
      </c>
      <c r="B140" s="16">
        <v>2</v>
      </c>
      <c r="C140" s="16" t="s">
        <v>308</v>
      </c>
    </row>
    <row r="141" spans="1:3">
      <c r="A141" s="16" t="s">
        <v>144</v>
      </c>
      <c r="B141" s="16">
        <v>3</v>
      </c>
      <c r="C141" s="16" t="s">
        <v>309</v>
      </c>
    </row>
    <row r="142" spans="1:3">
      <c r="A142" s="16" t="s">
        <v>144</v>
      </c>
      <c r="B142" s="16">
        <v>4</v>
      </c>
      <c r="C142" s="16" t="s">
        <v>310</v>
      </c>
    </row>
    <row r="143" spans="1:3">
      <c r="A143" s="16" t="s">
        <v>147</v>
      </c>
      <c r="B143" s="16">
        <v>1</v>
      </c>
      <c r="C143" s="16" t="s">
        <v>311</v>
      </c>
    </row>
    <row r="144" spans="1:3">
      <c r="A144" s="16" t="s">
        <v>147</v>
      </c>
      <c r="B144" s="16">
        <v>2</v>
      </c>
      <c r="C144" s="16" t="s">
        <v>312</v>
      </c>
    </row>
    <row r="145" spans="1:3">
      <c r="A145" s="16" t="s">
        <v>147</v>
      </c>
      <c r="B145" s="16">
        <v>3</v>
      </c>
      <c r="C145" s="16" t="s">
        <v>313</v>
      </c>
    </row>
    <row r="146" spans="1:3">
      <c r="A146" s="16" t="s">
        <v>147</v>
      </c>
      <c r="B146" s="16">
        <v>4</v>
      </c>
      <c r="C146" s="16" t="s">
        <v>314</v>
      </c>
    </row>
    <row r="147" spans="1:3">
      <c r="A147" s="16" t="s">
        <v>147</v>
      </c>
      <c r="B147" s="16">
        <v>5</v>
      </c>
      <c r="C147" s="16" t="s">
        <v>209</v>
      </c>
    </row>
    <row r="148" spans="1:3">
      <c r="A148" s="16" t="s">
        <v>150</v>
      </c>
      <c r="B148" s="16">
        <v>1</v>
      </c>
      <c r="C148" s="16" t="s">
        <v>315</v>
      </c>
    </row>
    <row r="149" spans="1:3">
      <c r="A149" s="16" t="s">
        <v>150</v>
      </c>
      <c r="B149" s="16">
        <v>2</v>
      </c>
      <c r="C149" s="16" t="s">
        <v>316</v>
      </c>
    </row>
    <row r="150" spans="1:3">
      <c r="A150" s="16" t="s">
        <v>150</v>
      </c>
      <c r="B150" s="16">
        <v>3</v>
      </c>
      <c r="C150" s="16" t="s">
        <v>317</v>
      </c>
    </row>
    <row r="151" spans="1:3">
      <c r="A151" s="16" t="s">
        <v>150</v>
      </c>
      <c r="B151" s="16">
        <v>4</v>
      </c>
      <c r="C151" s="16" t="s">
        <v>209</v>
      </c>
    </row>
    <row r="152" spans="1:3">
      <c r="A152" s="16" t="s">
        <v>153</v>
      </c>
      <c r="B152" s="16">
        <v>1</v>
      </c>
      <c r="C152" s="16" t="s">
        <v>318</v>
      </c>
    </row>
    <row r="153" spans="1:3">
      <c r="A153" s="16" t="s">
        <v>153</v>
      </c>
      <c r="B153" s="16">
        <v>2</v>
      </c>
      <c r="C153" s="16" t="s">
        <v>319</v>
      </c>
    </row>
    <row r="154" spans="1:3">
      <c r="A154" s="16" t="s">
        <v>153</v>
      </c>
      <c r="B154" s="16">
        <v>3</v>
      </c>
      <c r="C154" s="16" t="s">
        <v>320</v>
      </c>
    </row>
    <row r="155" spans="1:3">
      <c r="A155" s="16" t="s">
        <v>153</v>
      </c>
      <c r="B155" s="16">
        <v>4</v>
      </c>
      <c r="C155" s="16" t="s">
        <v>321</v>
      </c>
    </row>
    <row r="156" spans="1:3">
      <c r="A156" s="16" t="s">
        <v>153</v>
      </c>
      <c r="B156" s="16">
        <v>5</v>
      </c>
      <c r="C156" s="16" t="s">
        <v>209</v>
      </c>
    </row>
    <row r="157" spans="1:3">
      <c r="A157" s="16" t="s">
        <v>156</v>
      </c>
      <c r="B157" s="16">
        <v>1</v>
      </c>
      <c r="C157" s="16" t="s">
        <v>322</v>
      </c>
    </row>
    <row r="158" spans="1:3">
      <c r="A158" s="16" t="s">
        <v>156</v>
      </c>
      <c r="B158" s="16">
        <v>2</v>
      </c>
      <c r="C158" s="16" t="s">
        <v>323</v>
      </c>
    </row>
    <row r="159" spans="1:3">
      <c r="A159" s="16" t="s">
        <v>156</v>
      </c>
      <c r="B159" s="16">
        <v>3</v>
      </c>
      <c r="C159" s="16" t="s">
        <v>324</v>
      </c>
    </row>
    <row r="160" spans="1:3">
      <c r="A160" s="16" t="s">
        <v>156</v>
      </c>
      <c r="B160" s="16">
        <v>4</v>
      </c>
      <c r="C160" s="16" t="s">
        <v>325</v>
      </c>
    </row>
    <row r="161" spans="1:3">
      <c r="A161" s="16" t="s">
        <v>156</v>
      </c>
      <c r="B161" s="16">
        <v>5</v>
      </c>
      <c r="C161" s="16" t="s">
        <v>326</v>
      </c>
    </row>
    <row r="162" spans="1:3">
      <c r="A162" s="16" t="s">
        <v>156</v>
      </c>
      <c r="B162" s="16">
        <v>6</v>
      </c>
      <c r="C162" s="16" t="s">
        <v>327</v>
      </c>
    </row>
    <row r="163" spans="1:3">
      <c r="A163" s="16" t="s">
        <v>156</v>
      </c>
      <c r="B163" s="16">
        <v>7</v>
      </c>
      <c r="C163" s="16" t="s">
        <v>209</v>
      </c>
    </row>
    <row r="164" spans="1:3">
      <c r="A164" s="16" t="s">
        <v>160</v>
      </c>
      <c r="B164" s="16">
        <v>1</v>
      </c>
      <c r="C164" s="16" t="s">
        <v>328</v>
      </c>
    </row>
    <row r="165" spans="1:3">
      <c r="A165" s="16" t="s">
        <v>160</v>
      </c>
      <c r="B165" s="16">
        <v>2</v>
      </c>
      <c r="C165" s="16" t="s">
        <v>329</v>
      </c>
    </row>
    <row r="166" spans="1:3">
      <c r="A166" s="16" t="s">
        <v>160</v>
      </c>
      <c r="B166" s="16">
        <v>3</v>
      </c>
      <c r="C166" s="16" t="s">
        <v>330</v>
      </c>
    </row>
    <row r="167" spans="1:3">
      <c r="A167" s="16" t="s">
        <v>160</v>
      </c>
      <c r="B167" s="16">
        <v>4</v>
      </c>
      <c r="C167" s="16" t="s">
        <v>331</v>
      </c>
    </row>
    <row r="168" spans="1:3">
      <c r="A168" s="16" t="s">
        <v>160</v>
      </c>
      <c r="B168" s="16">
        <v>5</v>
      </c>
      <c r="C168" s="16" t="s">
        <v>209</v>
      </c>
    </row>
    <row r="169" spans="1:3">
      <c r="A169" s="16" t="s">
        <v>163</v>
      </c>
      <c r="B169" s="16">
        <v>1</v>
      </c>
      <c r="C169" s="16" t="s">
        <v>332</v>
      </c>
    </row>
    <row r="170" spans="1:3">
      <c r="A170" s="16" t="s">
        <v>163</v>
      </c>
      <c r="B170" s="16">
        <v>2</v>
      </c>
      <c r="C170" s="16" t="s">
        <v>333</v>
      </c>
    </row>
    <row r="171" spans="1:3">
      <c r="A171" s="16" t="s">
        <v>163</v>
      </c>
      <c r="B171" s="16">
        <v>3</v>
      </c>
      <c r="C171" s="16" t="s">
        <v>334</v>
      </c>
    </row>
    <row r="172" spans="1:3">
      <c r="A172" s="16" t="s">
        <v>163</v>
      </c>
      <c r="B172" s="16">
        <v>4</v>
      </c>
      <c r="C172" s="16" t="s">
        <v>209</v>
      </c>
    </row>
    <row r="173" spans="1:3">
      <c r="A173" s="16" t="s">
        <v>166</v>
      </c>
      <c r="B173" s="16">
        <v>1</v>
      </c>
      <c r="C173" s="16" t="s">
        <v>335</v>
      </c>
    </row>
    <row r="174" spans="1:3">
      <c r="A174" s="16" t="s">
        <v>166</v>
      </c>
      <c r="B174" s="16">
        <v>2</v>
      </c>
      <c r="C174" s="16" t="s">
        <v>336</v>
      </c>
    </row>
    <row r="175" spans="1:3">
      <c r="A175" s="16" t="s">
        <v>166</v>
      </c>
      <c r="B175" s="16">
        <v>3</v>
      </c>
      <c r="C175" s="16" t="s">
        <v>337</v>
      </c>
    </row>
    <row r="176" spans="1:3">
      <c r="A176" s="16" t="s">
        <v>166</v>
      </c>
      <c r="B176" s="16">
        <v>4</v>
      </c>
      <c r="C176" s="16" t="s">
        <v>338</v>
      </c>
    </row>
    <row r="177" spans="1:3">
      <c r="A177" s="16" t="s">
        <v>166</v>
      </c>
      <c r="B177" s="16">
        <v>5</v>
      </c>
      <c r="C177" s="16" t="s">
        <v>209</v>
      </c>
    </row>
    <row r="178" spans="1:3">
      <c r="A178" s="16" t="s">
        <v>169</v>
      </c>
      <c r="B178" s="16">
        <v>1</v>
      </c>
      <c r="C178" s="16" t="s">
        <v>339</v>
      </c>
    </row>
    <row r="179" spans="1:3">
      <c r="A179" s="16" t="s">
        <v>169</v>
      </c>
      <c r="B179" s="16">
        <v>2</v>
      </c>
      <c r="C179" s="16" t="s">
        <v>340</v>
      </c>
    </row>
    <row r="180" spans="1:3">
      <c r="A180" s="16" t="s">
        <v>169</v>
      </c>
      <c r="B180" s="16">
        <v>3</v>
      </c>
      <c r="C180" s="16" t="s">
        <v>341</v>
      </c>
    </row>
    <row r="181" spans="1:3">
      <c r="A181" s="16" t="s">
        <v>169</v>
      </c>
      <c r="B181" s="16">
        <v>4</v>
      </c>
      <c r="C181" s="16" t="s">
        <v>209</v>
      </c>
    </row>
    <row r="182" spans="1:3">
      <c r="A182" s="16" t="s">
        <v>172</v>
      </c>
      <c r="B182" s="16">
        <v>1</v>
      </c>
      <c r="C182" s="16" t="s">
        <v>342</v>
      </c>
    </row>
    <row r="183" spans="1:3">
      <c r="A183" s="16" t="s">
        <v>172</v>
      </c>
      <c r="B183" s="16">
        <v>2</v>
      </c>
      <c r="C183" s="16" t="s">
        <v>343</v>
      </c>
    </row>
    <row r="184" spans="1:3">
      <c r="A184" s="16" t="s">
        <v>172</v>
      </c>
      <c r="B184" s="16">
        <v>3</v>
      </c>
      <c r="C184" s="16" t="s">
        <v>344</v>
      </c>
    </row>
    <row r="185" spans="1:3">
      <c r="A185" s="16" t="s">
        <v>172</v>
      </c>
      <c r="B185" s="16">
        <v>4</v>
      </c>
      <c r="C185" s="16" t="s">
        <v>209</v>
      </c>
    </row>
    <row r="186" spans="1:3">
      <c r="A186" s="16" t="s">
        <v>175</v>
      </c>
      <c r="B186" s="16">
        <v>1</v>
      </c>
      <c r="C186" s="16" t="s">
        <v>345</v>
      </c>
    </row>
    <row r="187" spans="1:3">
      <c r="A187" s="16" t="s">
        <v>175</v>
      </c>
      <c r="B187" s="16">
        <v>2</v>
      </c>
      <c r="C187" s="16" t="s">
        <v>346</v>
      </c>
    </row>
    <row r="188" spans="1:3">
      <c r="A188" s="16" t="s">
        <v>175</v>
      </c>
      <c r="B188" s="16">
        <v>3</v>
      </c>
      <c r="C188" s="16" t="s">
        <v>347</v>
      </c>
    </row>
    <row r="189" spans="1:3">
      <c r="A189" s="16" t="s">
        <v>175</v>
      </c>
      <c r="B189" s="16">
        <v>4</v>
      </c>
      <c r="C189" s="16" t="s">
        <v>317</v>
      </c>
    </row>
    <row r="190" spans="1:3">
      <c r="A190" s="16" t="s">
        <v>179</v>
      </c>
      <c r="B190" s="16">
        <v>1</v>
      </c>
      <c r="C190" s="16" t="s">
        <v>348</v>
      </c>
    </row>
    <row r="191" spans="1:3">
      <c r="A191" s="16" t="s">
        <v>179</v>
      </c>
      <c r="B191" s="16">
        <v>2</v>
      </c>
      <c r="C191" s="16" t="s">
        <v>349</v>
      </c>
    </row>
    <row r="192" spans="1:3">
      <c r="A192" s="16" t="s">
        <v>179</v>
      </c>
      <c r="B192" s="16">
        <v>3</v>
      </c>
      <c r="C192" s="16" t="s">
        <v>350</v>
      </c>
    </row>
    <row r="193" spans="1:3">
      <c r="A193" s="16" t="s">
        <v>179</v>
      </c>
      <c r="B193" s="16">
        <v>4</v>
      </c>
      <c r="C193" s="16" t="s">
        <v>209</v>
      </c>
    </row>
    <row r="194" spans="1:3">
      <c r="A194" s="16" t="s">
        <v>182</v>
      </c>
      <c r="B194" s="16">
        <v>1</v>
      </c>
      <c r="C194" s="16" t="s">
        <v>351</v>
      </c>
    </row>
    <row r="195" spans="1:3">
      <c r="A195" s="16" t="s">
        <v>182</v>
      </c>
      <c r="B195" s="16">
        <v>2</v>
      </c>
      <c r="C195" s="16" t="s">
        <v>352</v>
      </c>
    </row>
    <row r="196" spans="1:3">
      <c r="A196" s="16" t="s">
        <v>182</v>
      </c>
      <c r="B196" s="16">
        <v>3</v>
      </c>
      <c r="C196" s="16" t="s">
        <v>347</v>
      </c>
    </row>
    <row r="197" spans="1:3">
      <c r="A197" s="16" t="s">
        <v>182</v>
      </c>
      <c r="B197" s="16">
        <v>4</v>
      </c>
      <c r="C197" s="16" t="s">
        <v>209</v>
      </c>
    </row>
    <row r="198" spans="1:3">
      <c r="A198" s="16" t="s">
        <v>185</v>
      </c>
      <c r="B198" s="16">
        <v>1</v>
      </c>
      <c r="C198" s="16" t="s">
        <v>353</v>
      </c>
    </row>
    <row r="199" spans="1:3">
      <c r="A199" s="16" t="s">
        <v>185</v>
      </c>
      <c r="B199" s="16">
        <v>2</v>
      </c>
      <c r="C199" s="16" t="s">
        <v>354</v>
      </c>
    </row>
    <row r="200" spans="1:3">
      <c r="A200" s="16" t="s">
        <v>185</v>
      </c>
      <c r="B200" s="16">
        <v>3</v>
      </c>
      <c r="C200" s="16" t="s">
        <v>355</v>
      </c>
    </row>
    <row r="201" spans="1:3">
      <c r="A201" s="17" t="s">
        <v>185</v>
      </c>
      <c r="B201" s="17">
        <v>4</v>
      </c>
      <c r="C201" s="17" t="s">
        <v>209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设计问卷</vt:lpstr>
      <vt:lpstr>下拉选项（勿改）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　文博</cp:lastModifiedBy>
  <dcterms:modified xsi:type="dcterms:W3CDTF">2026-07-31T04:35:15Z</dcterms:modified>
</cp:coreProperties>
</file>